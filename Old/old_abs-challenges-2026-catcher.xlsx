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burman/Documents/baseball_projects/abs-investigation/data/"/>
    </mc:Choice>
  </mc:AlternateContent>
  <xr:revisionPtr revIDLastSave="0" documentId="13_ncr:9_{12A56C65-8D2F-E842-96A2-24A58F0361A2}" xr6:coauthVersionLast="47" xr6:coauthVersionMax="47" xr10:uidLastSave="{00000000-0000-0000-0000-000000000000}"/>
  <bookViews>
    <workbookView xWindow="160" yWindow="940" windowWidth="29920" windowHeight="16960" xr2:uid="{AD0A394C-D906-1241-A543-ABAAFC7D4460}"/>
  </bookViews>
  <sheets>
    <sheet name="abs-challenges-2026-catcher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M2" i="1"/>
  <c r="AL2" i="1"/>
</calcChain>
</file>

<file path=xl/sharedStrings.xml><?xml version="1.0" encoding="utf-8"?>
<sst xmlns="http://schemas.openxmlformats.org/spreadsheetml/2006/main" count="331" uniqueCount="143">
  <si>
    <t>entity_name</t>
  </si>
  <si>
    <t>team_abbr</t>
  </si>
  <si>
    <t>level</t>
  </si>
  <si>
    <t>parent_org</t>
  </si>
  <si>
    <t>total_vs_expected</t>
  </si>
  <si>
    <t>net_for</t>
  </si>
  <si>
    <t>net_against</t>
  </si>
  <si>
    <t>n_challenges</t>
  </si>
  <si>
    <t>n_overturns</t>
  </si>
  <si>
    <t>n_confirms</t>
  </si>
  <si>
    <t>rate_overturns</t>
  </si>
  <si>
    <t>exp_chal</t>
  </si>
  <si>
    <t>exp_chal_gained</t>
  </si>
  <si>
    <t>exp_chal_lost</t>
  </si>
  <si>
    <t>exp_rate_overturns</t>
  </si>
  <si>
    <t>net_chal_gained</t>
  </si>
  <si>
    <t>net_chal_lost</t>
  </si>
  <si>
    <t>n_strikeouts_flip</t>
  </si>
  <si>
    <t>n_walks_flip</t>
  </si>
  <si>
    <t>exp_rate_challenges</t>
  </si>
  <si>
    <t>exp_rate_challenges_diff</t>
  </si>
  <si>
    <t>n_challenges_against</t>
  </si>
  <si>
    <t>n_overturns_against</t>
  </si>
  <si>
    <t>n_confirms_against</t>
  </si>
  <si>
    <t>rate_overturns_against</t>
  </si>
  <si>
    <t>exp_chal_against</t>
  </si>
  <si>
    <t>exp_chal_gained_against</t>
  </si>
  <si>
    <t>exp_chal_lost_against</t>
  </si>
  <si>
    <t>exp_rate_overturns_against</t>
  </si>
  <si>
    <t>net_chal_gained_against</t>
  </si>
  <si>
    <t>net_chal_lost_against</t>
  </si>
  <si>
    <t>n_strikeouts_flip_against</t>
  </si>
  <si>
    <t>n_walks_flip_against</t>
  </si>
  <si>
    <t>exp_rate_challenges_against</t>
  </si>
  <si>
    <t>exp_rate_challenges_diff_against</t>
  </si>
  <si>
    <t>Hunter Goodman</t>
  </si>
  <si>
    <t>COL</t>
  </si>
  <si>
    <t>MLB</t>
  </si>
  <si>
    <t>Dillon Dingler</t>
  </si>
  <si>
    <t>DET</t>
  </si>
  <si>
    <t>Salvador Perez</t>
  </si>
  <si>
    <t>KC</t>
  </si>
  <si>
    <t>Agustin Ramirez</t>
  </si>
  <si>
    <t>MIA</t>
  </si>
  <si>
    <t>Mitch Garver</t>
  </si>
  <si>
    <t>SEA</t>
  </si>
  <si>
    <t>Victor Caratini</t>
  </si>
  <si>
    <t>MIN</t>
  </si>
  <si>
    <t>Tyler Stephenson</t>
  </si>
  <si>
    <t>CIN</t>
  </si>
  <si>
    <t>Ivan Herrera</t>
  </si>
  <si>
    <t>STL</t>
  </si>
  <si>
    <t>Logan O'Hoppe</t>
  </si>
  <si>
    <t>LAA</t>
  </si>
  <si>
    <t>Will Smith</t>
  </si>
  <si>
    <t>LAD</t>
  </si>
  <si>
    <t>Carson Kelly</t>
  </si>
  <si>
    <t>CHC</t>
  </si>
  <si>
    <t>Austin Wells</t>
  </si>
  <si>
    <t>NYY</t>
  </si>
  <si>
    <t>Cal Raleigh</t>
  </si>
  <si>
    <t>Travis d'Arnaud</t>
  </si>
  <si>
    <t>Drake Baldwin</t>
  </si>
  <si>
    <t>ATL</t>
  </si>
  <si>
    <t>Yainer Diaz</t>
  </si>
  <si>
    <t>HOU</t>
  </si>
  <si>
    <t>Connor Wong</t>
  </si>
  <si>
    <t>BOS</t>
  </si>
  <si>
    <t>Adley Rutschman</t>
  </si>
  <si>
    <t>BAL</t>
  </si>
  <si>
    <t>Luis Campusano</t>
  </si>
  <si>
    <t>SD</t>
  </si>
  <si>
    <t>Miguel Amaya</t>
  </si>
  <si>
    <t>Patrick Bailey</t>
  </si>
  <si>
    <t>SF</t>
  </si>
  <si>
    <t>Pedro Pages</t>
  </si>
  <si>
    <t>P.J. Higgins</t>
  </si>
  <si>
    <t>Adrian Del Castillo</t>
  </si>
  <si>
    <t>AZ</t>
  </si>
  <si>
    <t>J.T. Realmuto</t>
  </si>
  <si>
    <t>PHI</t>
  </si>
  <si>
    <t>Luis Torrens</t>
  </si>
  <si>
    <t>NYM</t>
  </si>
  <si>
    <t>Nick Fortes</t>
  </si>
  <si>
    <t>TB</t>
  </si>
  <si>
    <t>Gary Sanchez</t>
  </si>
  <si>
    <t>MIL</t>
  </si>
  <si>
    <t>Brandon Valenzuela</t>
  </si>
  <si>
    <t>TOR</t>
  </si>
  <si>
    <t>Jake Rogers</t>
  </si>
  <si>
    <t>James McCann</t>
  </si>
  <si>
    <t>Brett Sullivan</t>
  </si>
  <si>
    <t>Ryan Jeffers</t>
  </si>
  <si>
    <t>Austin Hedges</t>
  </si>
  <si>
    <t>CLE</t>
  </si>
  <si>
    <t>Danny Jansen</t>
  </si>
  <si>
    <t>TEX</t>
  </si>
  <si>
    <t>William Contreras</t>
  </si>
  <si>
    <t>Tyler Heineman</t>
  </si>
  <si>
    <t>Sebastian Rivero</t>
  </si>
  <si>
    <t>J.C. Escarra</t>
  </si>
  <si>
    <t>Reese McGuire</t>
  </si>
  <si>
    <t>CWS</t>
  </si>
  <si>
    <t>Freddy Fermin</t>
  </si>
  <si>
    <t>Alejandro Kirk</t>
  </si>
  <si>
    <t>Jeferson Quero</t>
  </si>
  <si>
    <t>Bo Naylor</t>
  </si>
  <si>
    <t>Gabriel Moreno</t>
  </si>
  <si>
    <t>Sam Huff</t>
  </si>
  <si>
    <t>Daniel Susac</t>
  </si>
  <si>
    <t>Henry Davis</t>
  </si>
  <si>
    <t>PIT</t>
  </si>
  <si>
    <t>Drew Millas</t>
  </si>
  <si>
    <t>WSH</t>
  </si>
  <si>
    <t>Liam Hicks</t>
  </si>
  <si>
    <t>Jonah Heim</t>
  </si>
  <si>
    <t>Francisco Alvarez</t>
  </si>
  <si>
    <t>Kyle Higashioka</t>
  </si>
  <si>
    <t>Jose Trevino</t>
  </si>
  <si>
    <t>Hunter Feduccia</t>
  </si>
  <si>
    <t>Yohel Pozo</t>
  </si>
  <si>
    <t>Moises Ballesteros</t>
  </si>
  <si>
    <t>Garrett Stubbs</t>
  </si>
  <si>
    <t>Keibert Ruiz</t>
  </si>
  <si>
    <t>Austin Wynns</t>
  </si>
  <si>
    <t>ATH</t>
  </si>
  <si>
    <t>Joey Bart</t>
  </si>
  <si>
    <t>David Fry</t>
  </si>
  <si>
    <t>Eric Haase</t>
  </si>
  <si>
    <t>Shea Langeliers</t>
  </si>
  <si>
    <t>Christian Vazquez</t>
  </si>
  <si>
    <t>Rafael Marchan</t>
  </si>
  <si>
    <t>Elias Diaz</t>
  </si>
  <si>
    <t>Dalton Rushing</t>
  </si>
  <si>
    <t>Drew Romo</t>
  </si>
  <si>
    <t>Carter Jensen</t>
  </si>
  <si>
    <t>Carlos Narvaez</t>
  </si>
  <si>
    <t>Samuel Basallo</t>
  </si>
  <si>
    <t>Edgar Quero</t>
  </si>
  <si>
    <t>rsn_opp</t>
  </si>
  <si>
    <t>rsn_chal</t>
  </si>
  <si>
    <t>perc_chal_rsn</t>
  </si>
  <si>
    <t>perc_rsn_taken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</si>
</sst>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B855-BE39-3848-87F4-817EA6C7EA10}">
  <dimension ref="A1:AM74"/>
  <sheetViews>
    <sheetView tabSelected="1" workbookViewId="0">
      <selection activeCell="D13" sqref="D13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139</v>
      </c>
      <c r="AK1" t="s">
        <v>140</v>
      </c>
      <c r="AL1" t="s">
        <v>141</v>
      </c>
      <c r="AM1" t="s">
        <v>142</v>
      </c>
    </row>
    <row r="2" spans="1:39" x14ac:dyDescent="0.2">
      <c r="A2" t="s">
        <v>35</v>
      </c>
      <c r="B2" t="s">
        <v>36</v>
      </c>
      <c r="C2" t="s">
        <v>37</v>
      </c>
      <c r="D2" t="s">
        <v>36</v>
      </c>
      <c r="E2">
        <v>9.3353160168161899</v>
      </c>
      <c r="F2">
        <v>14.1502582337964</v>
      </c>
      <c r="G2">
        <v>4.8149422169802198</v>
      </c>
      <c r="H2">
        <v>23</v>
      </c>
      <c r="I2">
        <v>18</v>
      </c>
      <c r="J2">
        <v>5</v>
      </c>
      <c r="K2">
        <v>0.78260869565217395</v>
      </c>
      <c r="L2">
        <v>19.7243801632297</v>
      </c>
      <c r="M2">
        <v>9.2870609647166606</v>
      </c>
      <c r="N2">
        <v>10.437319198513</v>
      </c>
      <c r="O2">
        <v>0.47084171405444802</v>
      </c>
      <c r="P2">
        <v>8.7129390352833305</v>
      </c>
      <c r="Q2">
        <v>-5.4373191985130802</v>
      </c>
      <c r="R2">
        <v>7</v>
      </c>
      <c r="S2">
        <v>3</v>
      </c>
      <c r="T2">
        <v>1.9645796975328401E-2</v>
      </c>
      <c r="U2">
        <v>3.2625695585361001E-3</v>
      </c>
      <c r="V2">
        <v>18</v>
      </c>
      <c r="W2">
        <v>10</v>
      </c>
      <c r="X2">
        <v>8</v>
      </c>
      <c r="Y2">
        <v>0.55555555555555503</v>
      </c>
      <c r="Z2">
        <v>15.395280506256499</v>
      </c>
      <c r="AA2">
        <v>6.2901691446381696</v>
      </c>
      <c r="AB2">
        <v>9.1051113616184001</v>
      </c>
      <c r="AC2">
        <v>0.40857775485687797</v>
      </c>
      <c r="AD2">
        <v>3.7098308553618198</v>
      </c>
      <c r="AE2">
        <v>-1.1051113616184001</v>
      </c>
      <c r="AF2">
        <v>1</v>
      </c>
      <c r="AG2">
        <v>1</v>
      </c>
      <c r="AH2">
        <v>3.7549464649406297E-2</v>
      </c>
      <c r="AI2">
        <v>6.3529743749839301E-3</v>
      </c>
      <c r="AJ2">
        <v>53</v>
      </c>
      <c r="AK2">
        <v>20</v>
      </c>
      <c r="AL2">
        <f>AK2/H2</f>
        <v>0.86956521739130432</v>
      </c>
      <c r="AM2">
        <f>AK2/AJ2</f>
        <v>0.37735849056603776</v>
      </c>
    </row>
    <row r="3" spans="1:39" x14ac:dyDescent="0.2">
      <c r="A3" t="s">
        <v>38</v>
      </c>
      <c r="B3" t="s">
        <v>39</v>
      </c>
      <c r="C3" t="s">
        <v>37</v>
      </c>
      <c r="D3" t="s">
        <v>39</v>
      </c>
      <c r="E3">
        <v>11.093194739642399</v>
      </c>
      <c r="F3">
        <v>13.0903588345755</v>
      </c>
      <c r="G3">
        <v>1.99716409493311</v>
      </c>
      <c r="H3">
        <v>16</v>
      </c>
      <c r="I3">
        <v>14</v>
      </c>
      <c r="J3">
        <v>2</v>
      </c>
      <c r="K3">
        <v>0.875</v>
      </c>
      <c r="L3">
        <v>27.752150808180399</v>
      </c>
      <c r="M3">
        <v>13.3308959868024</v>
      </c>
      <c r="N3">
        <v>14.421254821378</v>
      </c>
      <c r="O3">
        <v>0.48035541745733401</v>
      </c>
      <c r="P3">
        <v>0.66910401319758595</v>
      </c>
      <c r="Q3">
        <v>-12.4212548213779</v>
      </c>
      <c r="R3">
        <v>3</v>
      </c>
      <c r="S3">
        <v>0</v>
      </c>
      <c r="T3">
        <v>2.3638970024003701E-2</v>
      </c>
      <c r="U3">
        <v>-1.00103499217891E-2</v>
      </c>
      <c r="V3">
        <v>22</v>
      </c>
      <c r="W3">
        <v>10</v>
      </c>
      <c r="X3">
        <v>12</v>
      </c>
      <c r="Y3">
        <v>0.45454545454545398</v>
      </c>
      <c r="Z3">
        <v>22.8000861614196</v>
      </c>
      <c r="AA3">
        <v>9.40146103324326</v>
      </c>
      <c r="AB3">
        <v>13.398625128176301</v>
      </c>
      <c r="AC3">
        <v>0.41234322391077599</v>
      </c>
      <c r="AD3">
        <v>0.59853896675673801</v>
      </c>
      <c r="AE3">
        <v>-1.39862512817637</v>
      </c>
      <c r="AF3">
        <v>2</v>
      </c>
      <c r="AG3">
        <v>5</v>
      </c>
      <c r="AH3">
        <v>4.3019030493244598E-2</v>
      </c>
      <c r="AI3">
        <v>-1.5095965309804399E-3</v>
      </c>
      <c r="AJ3">
        <v>96</v>
      </c>
      <c r="AK3">
        <v>14</v>
      </c>
      <c r="AL3">
        <f t="shared" ref="AL3:AL66" si="0">AK3/H3</f>
        <v>0.875</v>
      </c>
      <c r="AM3">
        <f t="shared" ref="AM3:AM66" si="1">AK3/AJ3</f>
        <v>0.14583333333333334</v>
      </c>
    </row>
    <row r="4" spans="1:39" x14ac:dyDescent="0.2">
      <c r="A4" t="s">
        <v>40</v>
      </c>
      <c r="B4" t="s">
        <v>41</v>
      </c>
      <c r="C4" t="s">
        <v>37</v>
      </c>
      <c r="D4" t="s">
        <v>41</v>
      </c>
      <c r="E4">
        <v>11.5717039897196</v>
      </c>
      <c r="F4">
        <v>11.853543175817199</v>
      </c>
      <c r="G4">
        <v>0.28183918609763398</v>
      </c>
      <c r="H4">
        <v>27</v>
      </c>
      <c r="I4">
        <v>20</v>
      </c>
      <c r="J4">
        <v>7</v>
      </c>
      <c r="K4">
        <v>0.74074074074074003</v>
      </c>
      <c r="L4">
        <v>22.964546389158201</v>
      </c>
      <c r="M4">
        <v>12.055501606670401</v>
      </c>
      <c r="N4">
        <v>10.909044782487699</v>
      </c>
      <c r="O4">
        <v>0.524961451551334</v>
      </c>
      <c r="P4">
        <v>7.9444983933294999</v>
      </c>
      <c r="Q4">
        <v>-3.9090447824877699</v>
      </c>
      <c r="R4">
        <v>2</v>
      </c>
      <c r="S4">
        <v>4</v>
      </c>
      <c r="T4">
        <v>2.4561012180917899E-2</v>
      </c>
      <c r="U4">
        <v>4.31599316667564E-3</v>
      </c>
      <c r="V4">
        <v>25</v>
      </c>
      <c r="W4">
        <v>10</v>
      </c>
      <c r="X4">
        <v>15</v>
      </c>
      <c r="Y4">
        <v>0.4</v>
      </c>
      <c r="Z4">
        <v>14.1589784400041</v>
      </c>
      <c r="AA4">
        <v>4.43856962695327</v>
      </c>
      <c r="AB4">
        <v>9.7204088130509092</v>
      </c>
      <c r="AC4">
        <v>0.31348092277707801</v>
      </c>
      <c r="AD4">
        <v>5.5614303730467203</v>
      </c>
      <c r="AE4">
        <v>5.2795911869490899</v>
      </c>
      <c r="AF4">
        <v>4</v>
      </c>
      <c r="AG4">
        <v>2</v>
      </c>
      <c r="AH4">
        <v>4.0224370568193703E-2</v>
      </c>
      <c r="AI4">
        <v>3.07983567045335E-2</v>
      </c>
      <c r="AJ4">
        <v>74</v>
      </c>
      <c r="AK4">
        <v>22</v>
      </c>
      <c r="AL4">
        <f t="shared" si="0"/>
        <v>0.81481481481481477</v>
      </c>
      <c r="AM4">
        <f t="shared" si="1"/>
        <v>0.29729729729729731</v>
      </c>
    </row>
    <row r="5" spans="1:39" x14ac:dyDescent="0.2">
      <c r="A5" t="s">
        <v>42</v>
      </c>
      <c r="B5" t="s">
        <v>43</v>
      </c>
      <c r="C5" t="s">
        <v>37</v>
      </c>
      <c r="D5" t="s">
        <v>43</v>
      </c>
      <c r="E5">
        <v>10.987190406696</v>
      </c>
      <c r="F5">
        <v>10.580711007111301</v>
      </c>
      <c r="G5">
        <v>-0.40647939958475898</v>
      </c>
      <c r="H5">
        <v>30</v>
      </c>
      <c r="I5">
        <v>21</v>
      </c>
      <c r="J5">
        <v>9</v>
      </c>
      <c r="K5">
        <v>0.7</v>
      </c>
      <c r="L5">
        <v>18.183148156913902</v>
      </c>
      <c r="M5">
        <v>9.8012185749013199</v>
      </c>
      <c r="N5">
        <v>8.3819295820126598</v>
      </c>
      <c r="O5">
        <v>0.53902759248950405</v>
      </c>
      <c r="P5">
        <v>11.1987814250986</v>
      </c>
      <c r="Q5">
        <v>0.61807041798733298</v>
      </c>
      <c r="R5">
        <v>2</v>
      </c>
      <c r="S5">
        <v>1</v>
      </c>
      <c r="T5">
        <v>2.2587761685607399E-2</v>
      </c>
      <c r="U5">
        <v>1.4679319059734099E-2</v>
      </c>
      <c r="V5">
        <v>13</v>
      </c>
      <c r="W5">
        <v>5</v>
      </c>
      <c r="X5">
        <v>8</v>
      </c>
      <c r="Y5">
        <v>0.38461538461538403</v>
      </c>
      <c r="Z5">
        <v>12.3875459789065</v>
      </c>
      <c r="AA5">
        <v>4.8970126892456696</v>
      </c>
      <c r="AB5">
        <v>7.4905332896609202</v>
      </c>
      <c r="AC5">
        <v>0.395317417798833</v>
      </c>
      <c r="AD5">
        <v>0.10298731075431999</v>
      </c>
      <c r="AE5">
        <v>0.50946671033907998</v>
      </c>
      <c r="AF5">
        <v>2</v>
      </c>
      <c r="AG5">
        <v>0</v>
      </c>
      <c r="AH5">
        <v>3.6010308078216799E-2</v>
      </c>
      <c r="AI5">
        <v>1.7803895962017499E-3</v>
      </c>
      <c r="AJ5">
        <v>54</v>
      </c>
      <c r="AK5">
        <v>22</v>
      </c>
      <c r="AL5">
        <f t="shared" si="0"/>
        <v>0.73333333333333328</v>
      </c>
      <c r="AM5">
        <f t="shared" si="1"/>
        <v>0.40740740740740738</v>
      </c>
    </row>
    <row r="6" spans="1:39" x14ac:dyDescent="0.2">
      <c r="A6" t="s">
        <v>44</v>
      </c>
      <c r="B6" t="s">
        <v>45</v>
      </c>
      <c r="C6" t="s">
        <v>37</v>
      </c>
      <c r="D6" t="s">
        <v>45</v>
      </c>
      <c r="E6">
        <v>4.0065589216037401</v>
      </c>
      <c r="F6">
        <v>8.7995206183526395</v>
      </c>
      <c r="G6">
        <v>4.7929616967489004</v>
      </c>
      <c r="H6">
        <v>11</v>
      </c>
      <c r="I6">
        <v>10</v>
      </c>
      <c r="J6">
        <v>1</v>
      </c>
      <c r="K6">
        <v>0.90909090909090895</v>
      </c>
      <c r="L6">
        <v>9.6514349380014899</v>
      </c>
      <c r="M6">
        <v>4.9259571598244198</v>
      </c>
      <c r="N6">
        <v>4.72547777817707</v>
      </c>
      <c r="O6">
        <v>0.51038598834966897</v>
      </c>
      <c r="P6">
        <v>5.0740428401755704</v>
      </c>
      <c r="Q6">
        <v>-3.72547777817707</v>
      </c>
      <c r="R6">
        <v>2</v>
      </c>
      <c r="S6">
        <v>0</v>
      </c>
      <c r="T6">
        <v>2.3089557267946099E-2</v>
      </c>
      <c r="U6">
        <v>3.2262322057380402E-3</v>
      </c>
      <c r="V6">
        <v>12</v>
      </c>
      <c r="W6">
        <v>8</v>
      </c>
      <c r="X6">
        <v>4</v>
      </c>
      <c r="Y6">
        <v>0.66666666666666596</v>
      </c>
      <c r="Z6">
        <v>5.9990130807179503</v>
      </c>
      <c r="AA6">
        <v>2.6030256919845201</v>
      </c>
      <c r="AB6">
        <v>3.39598738873342</v>
      </c>
      <c r="AC6">
        <v>0.43390898752182699</v>
      </c>
      <c r="AD6">
        <v>5.3969743080154702</v>
      </c>
      <c r="AE6">
        <v>0.60401261126657002</v>
      </c>
      <c r="AF6">
        <v>3</v>
      </c>
      <c r="AG6">
        <v>2</v>
      </c>
      <c r="AH6">
        <v>3.9993420538119599E-2</v>
      </c>
      <c r="AI6">
        <v>4.0006579461880298E-2</v>
      </c>
      <c r="AJ6">
        <v>35</v>
      </c>
      <c r="AK6">
        <v>11</v>
      </c>
      <c r="AL6">
        <f t="shared" si="0"/>
        <v>1</v>
      </c>
      <c r="AM6">
        <f t="shared" si="1"/>
        <v>0.31428571428571428</v>
      </c>
    </row>
    <row r="7" spans="1:39" x14ac:dyDescent="0.2">
      <c r="A7" t="s">
        <v>46</v>
      </c>
      <c r="B7" t="s">
        <v>47</v>
      </c>
      <c r="C7" t="s">
        <v>37</v>
      </c>
      <c r="D7" t="s">
        <v>47</v>
      </c>
      <c r="E7">
        <v>13.6787884841291</v>
      </c>
      <c r="F7">
        <v>8.0050332915754296</v>
      </c>
      <c r="G7">
        <v>-5.6737551925537302</v>
      </c>
      <c r="H7">
        <v>17</v>
      </c>
      <c r="I7">
        <v>13</v>
      </c>
      <c r="J7">
        <v>4</v>
      </c>
      <c r="K7">
        <v>0.76470588235294101</v>
      </c>
      <c r="L7">
        <v>12.736472175288201</v>
      </c>
      <c r="M7">
        <v>6.8657194418564202</v>
      </c>
      <c r="N7">
        <v>5.8707527334318499</v>
      </c>
      <c r="O7">
        <v>0.53905974490938802</v>
      </c>
      <c r="P7">
        <v>6.13428055814357</v>
      </c>
      <c r="Q7">
        <v>-1.8707527334318499</v>
      </c>
      <c r="R7">
        <v>3</v>
      </c>
      <c r="S7">
        <v>1</v>
      </c>
      <c r="T7">
        <v>2.1623891638859499E-2</v>
      </c>
      <c r="U7">
        <v>7.2385871387295698E-3</v>
      </c>
      <c r="V7">
        <v>11</v>
      </c>
      <c r="W7">
        <v>4</v>
      </c>
      <c r="X7">
        <v>7</v>
      </c>
      <c r="Y7">
        <v>0.36363636363636298</v>
      </c>
      <c r="Z7">
        <v>14.9724078574915</v>
      </c>
      <c r="AA7">
        <v>8.8230815250226193</v>
      </c>
      <c r="AB7">
        <v>6.1493263324688803</v>
      </c>
      <c r="AC7">
        <v>0.58928941884307195</v>
      </c>
      <c r="AD7">
        <v>-4.8230815250226202</v>
      </c>
      <c r="AE7">
        <v>0.85067366753111795</v>
      </c>
      <c r="AF7">
        <v>1</v>
      </c>
      <c r="AG7">
        <v>0</v>
      </c>
      <c r="AH7">
        <v>5.1100368114305399E-2</v>
      </c>
      <c r="AI7">
        <v>-1.35577059982645E-2</v>
      </c>
      <c r="AJ7">
        <v>42</v>
      </c>
      <c r="AK7">
        <v>14</v>
      </c>
      <c r="AL7">
        <f t="shared" si="0"/>
        <v>0.82352941176470584</v>
      </c>
      <c r="AM7">
        <f t="shared" si="1"/>
        <v>0.33333333333333331</v>
      </c>
    </row>
    <row r="8" spans="1:39" x14ac:dyDescent="0.2">
      <c r="A8" t="s">
        <v>48</v>
      </c>
      <c r="B8" t="s">
        <v>49</v>
      </c>
      <c r="C8" t="s">
        <v>37</v>
      </c>
      <c r="D8" t="s">
        <v>49</v>
      </c>
      <c r="E8">
        <v>6.40652443880081</v>
      </c>
      <c r="F8">
        <v>7.5713394886868697</v>
      </c>
      <c r="G8">
        <v>1.1648150498860601</v>
      </c>
      <c r="H8">
        <v>19</v>
      </c>
      <c r="I8">
        <v>13</v>
      </c>
      <c r="J8">
        <v>6</v>
      </c>
      <c r="K8">
        <v>0.68421052631578905</v>
      </c>
      <c r="L8">
        <v>34.212508004971703</v>
      </c>
      <c r="M8">
        <v>16.8205842581424</v>
      </c>
      <c r="N8">
        <v>17.3919237468292</v>
      </c>
      <c r="O8">
        <v>0.49165013730352802</v>
      </c>
      <c r="P8">
        <v>-3.8205842581424099</v>
      </c>
      <c r="Q8">
        <v>-11.3919237468292</v>
      </c>
      <c r="R8">
        <v>4</v>
      </c>
      <c r="S8">
        <v>1</v>
      </c>
      <c r="T8">
        <v>2.57624307266353E-2</v>
      </c>
      <c r="U8">
        <v>-1.14552018109726E-2</v>
      </c>
      <c r="V8">
        <v>20</v>
      </c>
      <c r="W8">
        <v>8</v>
      </c>
      <c r="X8">
        <v>12</v>
      </c>
      <c r="Y8">
        <v>0.4</v>
      </c>
      <c r="Z8">
        <v>20.784342454562299</v>
      </c>
      <c r="AA8">
        <v>7.8097637023381203</v>
      </c>
      <c r="AB8">
        <v>12.974578752224099</v>
      </c>
      <c r="AC8">
        <v>0.37575226252220501</v>
      </c>
      <c r="AD8">
        <v>0.190236297661871</v>
      </c>
      <c r="AE8">
        <v>-0.97457875222419299</v>
      </c>
      <c r="AF8">
        <v>3</v>
      </c>
      <c r="AG8">
        <v>2</v>
      </c>
      <c r="AH8">
        <v>3.7114897240289803E-2</v>
      </c>
      <c r="AI8">
        <v>-1.4006115260041399E-3</v>
      </c>
      <c r="AJ8">
        <v>103</v>
      </c>
      <c r="AK8">
        <v>16</v>
      </c>
      <c r="AL8">
        <f t="shared" si="0"/>
        <v>0.84210526315789469</v>
      </c>
      <c r="AM8">
        <f t="shared" si="1"/>
        <v>0.1553398058252427</v>
      </c>
    </row>
    <row r="9" spans="1:39" x14ac:dyDescent="0.2">
      <c r="A9" t="s">
        <v>50</v>
      </c>
      <c r="B9" t="s">
        <v>51</v>
      </c>
      <c r="C9" t="s">
        <v>37</v>
      </c>
      <c r="D9" t="s">
        <v>51</v>
      </c>
      <c r="E9">
        <v>3.90232010086849</v>
      </c>
      <c r="F9">
        <v>7.3641181945716703</v>
      </c>
      <c r="G9">
        <v>3.4617980937031798</v>
      </c>
      <c r="H9">
        <v>13</v>
      </c>
      <c r="I9">
        <v>10</v>
      </c>
      <c r="J9">
        <v>3</v>
      </c>
      <c r="K9">
        <v>0.76923076923076905</v>
      </c>
      <c r="L9">
        <v>17.0300257232124</v>
      </c>
      <c r="M9">
        <v>8.3329537643203597</v>
      </c>
      <c r="N9">
        <v>8.6970719588920407</v>
      </c>
      <c r="O9">
        <v>0.48930952305975101</v>
      </c>
      <c r="P9">
        <v>1.6670462356796301</v>
      </c>
      <c r="Q9">
        <v>-5.6970719588920398</v>
      </c>
      <c r="R9">
        <v>3</v>
      </c>
      <c r="S9">
        <v>3</v>
      </c>
      <c r="T9">
        <v>2.3885029064814E-2</v>
      </c>
      <c r="U9">
        <v>-5.6522099904802404E-3</v>
      </c>
      <c r="V9">
        <v>9</v>
      </c>
      <c r="W9">
        <v>6</v>
      </c>
      <c r="X9">
        <v>3</v>
      </c>
      <c r="Y9">
        <v>0.66666666666666596</v>
      </c>
      <c r="Z9">
        <v>13.005351625925901</v>
      </c>
      <c r="AA9">
        <v>6.2717767661113903</v>
      </c>
      <c r="AB9">
        <v>6.7335748598145804</v>
      </c>
      <c r="AC9">
        <v>0.482245843596316</v>
      </c>
      <c r="AD9">
        <v>-0.271776766111398</v>
      </c>
      <c r="AE9">
        <v>-3.7335748598145799</v>
      </c>
      <c r="AF9">
        <v>3</v>
      </c>
      <c r="AG9">
        <v>0</v>
      </c>
      <c r="AH9">
        <v>4.3789062713555503E-2</v>
      </c>
      <c r="AI9">
        <v>-1.34860324105251E-2</v>
      </c>
      <c r="AJ9">
        <v>44</v>
      </c>
      <c r="AK9">
        <v>10</v>
      </c>
      <c r="AL9">
        <f t="shared" si="0"/>
        <v>0.76923076923076927</v>
      </c>
      <c r="AM9">
        <f t="shared" si="1"/>
        <v>0.22727272727272727</v>
      </c>
    </row>
    <row r="10" spans="1:39" x14ac:dyDescent="0.2">
      <c r="A10" t="s">
        <v>52</v>
      </c>
      <c r="B10" t="s">
        <v>53</v>
      </c>
      <c r="C10" t="s">
        <v>37</v>
      </c>
      <c r="D10" t="s">
        <v>53</v>
      </c>
      <c r="E10">
        <v>8.2424806254698808</v>
      </c>
      <c r="F10">
        <v>7.2125857639443796</v>
      </c>
      <c r="G10">
        <v>-1.0298948615254999</v>
      </c>
      <c r="H10">
        <v>27</v>
      </c>
      <c r="I10">
        <v>17</v>
      </c>
      <c r="J10">
        <v>10</v>
      </c>
      <c r="K10">
        <v>0.62962962962962898</v>
      </c>
      <c r="L10">
        <v>34.019589020903503</v>
      </c>
      <c r="M10">
        <v>16.903501628479599</v>
      </c>
      <c r="N10">
        <v>17.1160873924239</v>
      </c>
      <c r="O10">
        <v>0.49687553891650799</v>
      </c>
      <c r="P10">
        <v>9.6498371520398599E-2</v>
      </c>
      <c r="Q10">
        <v>-7.1160873924239798</v>
      </c>
      <c r="R10">
        <v>1</v>
      </c>
      <c r="S10">
        <v>2</v>
      </c>
      <c r="T10">
        <v>2.6661119922338199E-2</v>
      </c>
      <c r="U10">
        <v>-5.5012453141877402E-3</v>
      </c>
      <c r="V10">
        <v>23</v>
      </c>
      <c r="W10">
        <v>8</v>
      </c>
      <c r="X10">
        <v>15</v>
      </c>
      <c r="Y10">
        <v>0.34782608695652101</v>
      </c>
      <c r="Z10">
        <v>18.973297534632</v>
      </c>
      <c r="AA10">
        <v>6.5015961980787598</v>
      </c>
      <c r="AB10">
        <v>12.471701336553201</v>
      </c>
      <c r="AC10">
        <v>0.34267086078270598</v>
      </c>
      <c r="AD10">
        <v>1.49840380192123</v>
      </c>
      <c r="AE10">
        <v>2.5282986634467299</v>
      </c>
      <c r="AF10">
        <v>2</v>
      </c>
      <c r="AG10">
        <v>1</v>
      </c>
      <c r="AH10">
        <v>3.77202734286919E-2</v>
      </c>
      <c r="AI10">
        <v>8.0053726945685105E-3</v>
      </c>
      <c r="AJ10">
        <v>95</v>
      </c>
      <c r="AK10">
        <v>20</v>
      </c>
      <c r="AL10">
        <f t="shared" si="0"/>
        <v>0.7407407407407407</v>
      </c>
      <c r="AM10">
        <f t="shared" si="1"/>
        <v>0.21052631578947367</v>
      </c>
    </row>
    <row r="11" spans="1:39" x14ac:dyDescent="0.2">
      <c r="A11" t="s">
        <v>54</v>
      </c>
      <c r="B11" t="s">
        <v>55</v>
      </c>
      <c r="C11" t="s">
        <v>37</v>
      </c>
      <c r="D11" t="s">
        <v>55</v>
      </c>
      <c r="E11">
        <v>3.1301654475185599</v>
      </c>
      <c r="F11">
        <v>7.1234503595289302</v>
      </c>
      <c r="G11">
        <v>3.9932849120103602</v>
      </c>
      <c r="H11">
        <v>32</v>
      </c>
      <c r="I11">
        <v>23</v>
      </c>
      <c r="J11">
        <v>9</v>
      </c>
      <c r="K11">
        <v>0.71875</v>
      </c>
      <c r="L11">
        <v>30.033867324190901</v>
      </c>
      <c r="M11">
        <v>18.455208482330899</v>
      </c>
      <c r="N11">
        <v>11.5786588418599</v>
      </c>
      <c r="O11">
        <v>0.61447992305227195</v>
      </c>
      <c r="P11">
        <v>4.5447915176690099</v>
      </c>
      <c r="Q11">
        <v>-2.5786588418599199</v>
      </c>
      <c r="R11">
        <v>6</v>
      </c>
      <c r="S11">
        <v>2</v>
      </c>
      <c r="T11">
        <v>2.68159529680276E-2</v>
      </c>
      <c r="U11">
        <v>1.7554756034009499E-3</v>
      </c>
      <c r="V11">
        <v>15</v>
      </c>
      <c r="W11">
        <v>6</v>
      </c>
      <c r="X11">
        <v>9</v>
      </c>
      <c r="Y11">
        <v>0.4</v>
      </c>
      <c r="Z11">
        <v>20.127417754823</v>
      </c>
      <c r="AA11">
        <v>6.5670664214063397</v>
      </c>
      <c r="AB11">
        <v>13.560351333416699</v>
      </c>
      <c r="AC11">
        <v>0.32627466182703402</v>
      </c>
      <c r="AD11">
        <v>-0.567066421406347</v>
      </c>
      <c r="AE11">
        <v>-4.5603513334167101</v>
      </c>
      <c r="AF11">
        <v>3</v>
      </c>
      <c r="AG11">
        <v>0</v>
      </c>
      <c r="AH11">
        <v>4.1076362764945001E-2</v>
      </c>
      <c r="AI11">
        <v>-1.0464117866985799E-2</v>
      </c>
      <c r="AJ11">
        <v>83</v>
      </c>
      <c r="AK11">
        <v>26</v>
      </c>
      <c r="AL11">
        <f t="shared" si="0"/>
        <v>0.8125</v>
      </c>
      <c r="AM11">
        <f t="shared" si="1"/>
        <v>0.31325301204819278</v>
      </c>
    </row>
    <row r="12" spans="1:39" x14ac:dyDescent="0.2">
      <c r="A12" t="s">
        <v>56</v>
      </c>
      <c r="B12" t="s">
        <v>57</v>
      </c>
      <c r="C12" t="s">
        <v>37</v>
      </c>
      <c r="D12" t="s">
        <v>57</v>
      </c>
      <c r="E12">
        <v>6.8567901200889496</v>
      </c>
      <c r="F12">
        <v>6.8970895157377097</v>
      </c>
      <c r="G12">
        <v>4.02993956487534E-2</v>
      </c>
      <c r="H12">
        <v>14</v>
      </c>
      <c r="I12">
        <v>12</v>
      </c>
      <c r="J12">
        <v>2</v>
      </c>
      <c r="K12">
        <v>0.85714285714285698</v>
      </c>
      <c r="L12">
        <v>23.5130587383359</v>
      </c>
      <c r="M12">
        <v>13.3079846112991</v>
      </c>
      <c r="N12">
        <v>10.2050741270368</v>
      </c>
      <c r="O12">
        <v>0.56598270601015499</v>
      </c>
      <c r="P12">
        <v>-1.30798461129913</v>
      </c>
      <c r="Q12">
        <v>-8.2050741270368395</v>
      </c>
      <c r="R12">
        <v>5</v>
      </c>
      <c r="S12">
        <v>2</v>
      </c>
      <c r="T12">
        <v>2.4724562290574102E-2</v>
      </c>
      <c r="U12">
        <v>-1.00032163389442E-2</v>
      </c>
      <c r="V12">
        <v>20</v>
      </c>
      <c r="W12">
        <v>8</v>
      </c>
      <c r="X12">
        <v>12</v>
      </c>
      <c r="Y12">
        <v>0.4</v>
      </c>
      <c r="Z12">
        <v>15.1005527622328</v>
      </c>
      <c r="AA12">
        <v>5.5301266832920604</v>
      </c>
      <c r="AB12">
        <v>9.5704260789408195</v>
      </c>
      <c r="AC12">
        <v>0.36622014904799599</v>
      </c>
      <c r="AD12">
        <v>2.4698733167079299</v>
      </c>
      <c r="AE12">
        <v>2.42957392105918</v>
      </c>
      <c r="AF12">
        <v>3</v>
      </c>
      <c r="AG12">
        <v>1</v>
      </c>
      <c r="AH12">
        <v>3.7563564085156403E-2</v>
      </c>
      <c r="AI12">
        <v>1.2187679695938E-2</v>
      </c>
      <c r="AJ12">
        <v>69</v>
      </c>
      <c r="AK12">
        <v>12</v>
      </c>
      <c r="AL12">
        <f t="shared" si="0"/>
        <v>0.8571428571428571</v>
      </c>
      <c r="AM12">
        <f t="shared" si="1"/>
        <v>0.17391304347826086</v>
      </c>
    </row>
    <row r="13" spans="1:39" x14ac:dyDescent="0.2">
      <c r="A13" t="s">
        <v>58</v>
      </c>
      <c r="B13" t="s">
        <v>59</v>
      </c>
      <c r="C13" t="s">
        <v>37</v>
      </c>
      <c r="D13" t="s">
        <v>59</v>
      </c>
      <c r="E13">
        <v>-4.09579666654429</v>
      </c>
      <c r="F13">
        <v>6.7282905897652503</v>
      </c>
      <c r="G13">
        <v>10.8240872563095</v>
      </c>
      <c r="H13">
        <v>25</v>
      </c>
      <c r="I13">
        <v>15</v>
      </c>
      <c r="J13">
        <v>10</v>
      </c>
      <c r="K13">
        <v>0.6</v>
      </c>
      <c r="L13">
        <v>20.069110349839502</v>
      </c>
      <c r="M13">
        <v>9.1704098800371394</v>
      </c>
      <c r="N13">
        <v>10.898700469802399</v>
      </c>
      <c r="O13">
        <v>0.45694152457089099</v>
      </c>
      <c r="P13">
        <v>5.8295901199628499</v>
      </c>
      <c r="Q13">
        <v>-0.89870046980240104</v>
      </c>
      <c r="R13">
        <v>4</v>
      </c>
      <c r="S13">
        <v>1</v>
      </c>
      <c r="T13">
        <v>1.95035086004271E-2</v>
      </c>
      <c r="U13">
        <v>4.7919238582705996E-3</v>
      </c>
      <c r="V13">
        <v>28</v>
      </c>
      <c r="W13">
        <v>18</v>
      </c>
      <c r="X13">
        <v>10</v>
      </c>
      <c r="Y13">
        <v>0.64285714285714202</v>
      </c>
      <c r="Z13">
        <v>25.991967144616702</v>
      </c>
      <c r="AA13">
        <v>11.583939944153499</v>
      </c>
      <c r="AB13">
        <v>14.408027200463099</v>
      </c>
      <c r="AC13">
        <v>0.44567384529618997</v>
      </c>
      <c r="AD13">
        <v>6.4160600558464198</v>
      </c>
      <c r="AE13">
        <v>-4.4080272004631302</v>
      </c>
      <c r="AF13">
        <v>8</v>
      </c>
      <c r="AG13">
        <v>1</v>
      </c>
      <c r="AH13">
        <v>4.9227210501167899E-2</v>
      </c>
      <c r="AI13">
        <v>3.8030925291350302E-3</v>
      </c>
      <c r="AJ13">
        <v>62</v>
      </c>
      <c r="AK13">
        <v>17</v>
      </c>
      <c r="AL13">
        <f t="shared" si="0"/>
        <v>0.68</v>
      </c>
      <c r="AM13">
        <f t="shared" si="1"/>
        <v>0.27419354838709675</v>
      </c>
    </row>
    <row r="14" spans="1:39" x14ac:dyDescent="0.2">
      <c r="A14" t="s">
        <v>60</v>
      </c>
      <c r="B14" t="s">
        <v>45</v>
      </c>
      <c r="C14" t="s">
        <v>37</v>
      </c>
      <c r="D14" t="s">
        <v>45</v>
      </c>
      <c r="E14">
        <v>14.2933240638143</v>
      </c>
      <c r="F14">
        <v>6.4543355587535602</v>
      </c>
      <c r="G14">
        <v>-7.8389885050607804</v>
      </c>
      <c r="H14">
        <v>24</v>
      </c>
      <c r="I14">
        <v>14</v>
      </c>
      <c r="J14">
        <v>10</v>
      </c>
      <c r="K14">
        <v>0.58333333333333304</v>
      </c>
      <c r="L14">
        <v>24.0328401520689</v>
      </c>
      <c r="M14">
        <v>10.789252296657599</v>
      </c>
      <c r="N14">
        <v>13.243587855411199</v>
      </c>
      <c r="O14">
        <v>0.44893787951769998</v>
      </c>
      <c r="P14">
        <v>3.2107477033423</v>
      </c>
      <c r="Q14">
        <v>-3.2435878554112598</v>
      </c>
      <c r="R14">
        <v>4</v>
      </c>
      <c r="S14">
        <v>1</v>
      </c>
      <c r="T14">
        <v>2.12116859241561E-2</v>
      </c>
      <c r="U14">
        <v>-2.8985129804913801E-5</v>
      </c>
      <c r="V14">
        <v>21</v>
      </c>
      <c r="W14">
        <v>3</v>
      </c>
      <c r="X14">
        <v>18</v>
      </c>
      <c r="Y14">
        <v>0.14285714285714199</v>
      </c>
      <c r="Z14">
        <v>21.880640789893</v>
      </c>
      <c r="AA14">
        <v>7.3598146474769299</v>
      </c>
      <c r="AB14">
        <v>14.5208261424161</v>
      </c>
      <c r="AC14">
        <v>0.33636193373626</v>
      </c>
      <c r="AD14">
        <v>-4.3598146474769299</v>
      </c>
      <c r="AE14">
        <v>3.47917385758385</v>
      </c>
      <c r="AF14">
        <v>1</v>
      </c>
      <c r="AG14">
        <v>0</v>
      </c>
      <c r="AH14">
        <v>4.2987506463444097E-2</v>
      </c>
      <c r="AI14">
        <v>-1.73013907641074E-3</v>
      </c>
      <c r="AJ14">
        <v>73</v>
      </c>
      <c r="AK14">
        <v>16</v>
      </c>
      <c r="AL14">
        <f t="shared" si="0"/>
        <v>0.66666666666666663</v>
      </c>
      <c r="AM14">
        <f t="shared" si="1"/>
        <v>0.21917808219178081</v>
      </c>
    </row>
    <row r="15" spans="1:39" x14ac:dyDescent="0.2">
      <c r="A15" t="s">
        <v>61</v>
      </c>
      <c r="B15" t="s">
        <v>53</v>
      </c>
      <c r="C15" t="s">
        <v>37</v>
      </c>
      <c r="D15" t="s">
        <v>53</v>
      </c>
      <c r="E15">
        <v>7.1542633735201102</v>
      </c>
      <c r="F15">
        <v>5.6711766732363902</v>
      </c>
      <c r="G15">
        <v>-1.48308670028372</v>
      </c>
      <c r="H15">
        <v>8</v>
      </c>
      <c r="I15">
        <v>7</v>
      </c>
      <c r="J15">
        <v>1</v>
      </c>
      <c r="K15">
        <v>0.875</v>
      </c>
      <c r="L15">
        <v>10.2776511092828</v>
      </c>
      <c r="M15">
        <v>5.3032372180232201</v>
      </c>
      <c r="N15">
        <v>4.9744138912596103</v>
      </c>
      <c r="O15">
        <v>0.51599700764635803</v>
      </c>
      <c r="P15">
        <v>1.6967627819767701</v>
      </c>
      <c r="Q15">
        <v>-3.9744138912596099</v>
      </c>
      <c r="R15">
        <v>1</v>
      </c>
      <c r="S15">
        <v>0</v>
      </c>
      <c r="T15">
        <v>2.15917040110984E-2</v>
      </c>
      <c r="U15">
        <v>-4.7849813220227798E-3</v>
      </c>
      <c r="V15">
        <v>5</v>
      </c>
      <c r="W15">
        <v>1</v>
      </c>
      <c r="X15">
        <v>4</v>
      </c>
      <c r="Y15">
        <v>0.2</v>
      </c>
      <c r="Z15">
        <v>6.4017091275077602</v>
      </c>
      <c r="AA15">
        <v>2.4423979138957401</v>
      </c>
      <c r="AB15">
        <v>3.9593112136120201</v>
      </c>
      <c r="AC15">
        <v>0.38152278793812999</v>
      </c>
      <c r="AD15">
        <v>-1.4423979138957399</v>
      </c>
      <c r="AE15">
        <v>4.06887863879795E-2</v>
      </c>
      <c r="AF15">
        <v>0</v>
      </c>
      <c r="AG15">
        <v>1</v>
      </c>
      <c r="AH15">
        <v>3.55650507083764E-2</v>
      </c>
      <c r="AI15">
        <v>-7.7872729305986602E-3</v>
      </c>
      <c r="AJ15">
        <v>31</v>
      </c>
      <c r="AK15">
        <v>8</v>
      </c>
      <c r="AL15">
        <f t="shared" si="0"/>
        <v>1</v>
      </c>
      <c r="AM15">
        <f t="shared" si="1"/>
        <v>0.25806451612903225</v>
      </c>
    </row>
    <row r="16" spans="1:39" x14ac:dyDescent="0.2">
      <c r="A16" t="s">
        <v>62</v>
      </c>
      <c r="B16" t="s">
        <v>63</v>
      </c>
      <c r="C16" t="s">
        <v>37</v>
      </c>
      <c r="D16" t="s">
        <v>63</v>
      </c>
      <c r="E16">
        <v>-3.1054893155361598</v>
      </c>
      <c r="F16">
        <v>5.1386377299472903</v>
      </c>
      <c r="G16">
        <v>8.2441270454834594</v>
      </c>
      <c r="H16">
        <v>19</v>
      </c>
      <c r="I16">
        <v>12</v>
      </c>
      <c r="J16">
        <v>7</v>
      </c>
      <c r="K16">
        <v>0.63157894736842102</v>
      </c>
      <c r="L16">
        <v>21.436780875821601</v>
      </c>
      <c r="M16">
        <v>10.6490715729371</v>
      </c>
      <c r="N16">
        <v>10.7877093028844</v>
      </c>
      <c r="O16">
        <v>0.49676635846701001</v>
      </c>
      <c r="P16">
        <v>1.3509284270627999</v>
      </c>
      <c r="Q16">
        <v>-3.7877093028844899</v>
      </c>
      <c r="R16">
        <v>5</v>
      </c>
      <c r="S16">
        <v>4</v>
      </c>
      <c r="T16">
        <v>2.1918998850533399E-2</v>
      </c>
      <c r="U16">
        <v>-2.4915959875477399E-3</v>
      </c>
      <c r="V16">
        <v>18</v>
      </c>
      <c r="W16">
        <v>9</v>
      </c>
      <c r="X16">
        <v>9</v>
      </c>
      <c r="Y16">
        <v>0.5</v>
      </c>
      <c r="Z16">
        <v>22.101098324805601</v>
      </c>
      <c r="AA16">
        <v>6.9284856396611003</v>
      </c>
      <c r="AB16">
        <v>15.1726126851445</v>
      </c>
      <c r="AC16">
        <v>0.31349055770159401</v>
      </c>
      <c r="AD16">
        <v>2.0715143603388899</v>
      </c>
      <c r="AE16">
        <v>-6.1726126851445597</v>
      </c>
      <c r="AF16">
        <v>1</v>
      </c>
      <c r="AG16">
        <v>0</v>
      </c>
      <c r="AH16">
        <v>4.53821320837898E-2</v>
      </c>
      <c r="AI16">
        <v>-8.4211464575065197E-3</v>
      </c>
      <c r="AJ16">
        <v>58</v>
      </c>
      <c r="AK16">
        <v>14</v>
      </c>
      <c r="AL16">
        <f t="shared" si="0"/>
        <v>0.73684210526315785</v>
      </c>
      <c r="AM16">
        <f t="shared" si="1"/>
        <v>0.2413793103448276</v>
      </c>
    </row>
    <row r="17" spans="1:39" x14ac:dyDescent="0.2">
      <c r="A17" t="s">
        <v>64</v>
      </c>
      <c r="B17" t="s">
        <v>65</v>
      </c>
      <c r="C17" t="s">
        <v>37</v>
      </c>
      <c r="D17" t="s">
        <v>65</v>
      </c>
      <c r="E17">
        <v>6.9313521137662102</v>
      </c>
      <c r="F17">
        <v>5.0304811546630699</v>
      </c>
      <c r="G17">
        <v>-1.9008709591031301</v>
      </c>
      <c r="H17">
        <v>24</v>
      </c>
      <c r="I17">
        <v>15</v>
      </c>
      <c r="J17">
        <v>9</v>
      </c>
      <c r="K17">
        <v>0.625</v>
      </c>
      <c r="L17">
        <v>28.8625391293013</v>
      </c>
      <c r="M17">
        <v>14.9160289873191</v>
      </c>
      <c r="N17">
        <v>13.9465101419822</v>
      </c>
      <c r="O17">
        <v>0.51679545311300501</v>
      </c>
      <c r="P17">
        <v>8.3971012680873494E-2</v>
      </c>
      <c r="Q17">
        <v>-4.9465101419821904</v>
      </c>
      <c r="R17">
        <v>3</v>
      </c>
      <c r="S17">
        <v>0</v>
      </c>
      <c r="T17">
        <v>2.4732252895716601E-2</v>
      </c>
      <c r="U17">
        <v>-4.1667001964878596E-3</v>
      </c>
      <c r="V17">
        <v>23</v>
      </c>
      <c r="W17">
        <v>8</v>
      </c>
      <c r="X17">
        <v>15</v>
      </c>
      <c r="Y17">
        <v>0.34782608695652101</v>
      </c>
      <c r="Z17">
        <v>20.496456807293399</v>
      </c>
      <c r="AA17">
        <v>7.6986638831982903</v>
      </c>
      <c r="AB17">
        <v>12.7977929240951</v>
      </c>
      <c r="AC17">
        <v>0.375609499514023</v>
      </c>
      <c r="AD17">
        <v>0.30133611680170602</v>
      </c>
      <c r="AE17">
        <v>2.2022070759048402</v>
      </c>
      <c r="AF17">
        <v>1</v>
      </c>
      <c r="AG17">
        <v>0</v>
      </c>
      <c r="AH17">
        <v>4.0992913614586901E-2</v>
      </c>
      <c r="AI17">
        <v>5.0070863854130903E-3</v>
      </c>
      <c r="AJ17">
        <v>104</v>
      </c>
      <c r="AK17">
        <v>15</v>
      </c>
      <c r="AL17">
        <f t="shared" si="0"/>
        <v>0.625</v>
      </c>
      <c r="AM17">
        <f t="shared" si="1"/>
        <v>0.14423076923076922</v>
      </c>
    </row>
    <row r="18" spans="1:39" x14ac:dyDescent="0.2">
      <c r="A18" t="s">
        <v>66</v>
      </c>
      <c r="B18" t="s">
        <v>67</v>
      </c>
      <c r="C18" t="s">
        <v>37</v>
      </c>
      <c r="D18" t="s">
        <v>67</v>
      </c>
      <c r="E18">
        <v>-1.88476949421599</v>
      </c>
      <c r="F18">
        <v>4.9712963997846797</v>
      </c>
      <c r="G18">
        <v>6.8560658940006798</v>
      </c>
      <c r="H18">
        <v>5</v>
      </c>
      <c r="I18">
        <v>4</v>
      </c>
      <c r="J18">
        <v>1</v>
      </c>
      <c r="K18">
        <v>0.8</v>
      </c>
      <c r="L18">
        <v>12.4802723010948</v>
      </c>
      <c r="M18">
        <v>5.2544879506550499</v>
      </c>
      <c r="N18">
        <v>7.2257843504397403</v>
      </c>
      <c r="O18">
        <v>0.42102350204282901</v>
      </c>
      <c r="P18">
        <v>-1.2544879506550499</v>
      </c>
      <c r="Q18">
        <v>-6.2257843504397403</v>
      </c>
      <c r="R18">
        <v>1</v>
      </c>
      <c r="S18">
        <v>0</v>
      </c>
      <c r="T18">
        <v>2.0662702485256201E-2</v>
      </c>
      <c r="U18">
        <v>-1.2384556789892E-2</v>
      </c>
      <c r="V18">
        <v>7</v>
      </c>
      <c r="W18">
        <v>4</v>
      </c>
      <c r="X18">
        <v>3</v>
      </c>
      <c r="Y18">
        <v>0.57142857142857095</v>
      </c>
      <c r="Z18">
        <v>13.072557383848199</v>
      </c>
      <c r="AA18">
        <v>3.6082457449237699</v>
      </c>
      <c r="AB18">
        <v>9.4643116389244604</v>
      </c>
      <c r="AC18">
        <v>0.27601682203223099</v>
      </c>
      <c r="AD18">
        <v>0.39175425507622602</v>
      </c>
      <c r="AE18">
        <v>-6.4643116389244497</v>
      </c>
      <c r="AF18">
        <v>1</v>
      </c>
      <c r="AG18">
        <v>1</v>
      </c>
      <c r="AH18">
        <v>4.7023587711684203E-2</v>
      </c>
      <c r="AI18">
        <v>-2.18437315965763E-2</v>
      </c>
      <c r="AJ18">
        <v>33</v>
      </c>
      <c r="AK18">
        <v>4</v>
      </c>
      <c r="AL18">
        <f t="shared" si="0"/>
        <v>0.8</v>
      </c>
      <c r="AM18">
        <f t="shared" si="1"/>
        <v>0.12121212121212122</v>
      </c>
    </row>
    <row r="19" spans="1:39" x14ac:dyDescent="0.2">
      <c r="A19" t="s">
        <v>68</v>
      </c>
      <c r="B19" t="s">
        <v>69</v>
      </c>
      <c r="C19" t="s">
        <v>37</v>
      </c>
      <c r="D19" t="s">
        <v>69</v>
      </c>
      <c r="E19">
        <v>0.73211853565729801</v>
      </c>
      <c r="F19">
        <v>4.8311184339372399</v>
      </c>
      <c r="G19">
        <v>4.0989998982799403</v>
      </c>
      <c r="H19">
        <v>6</v>
      </c>
      <c r="I19">
        <v>5</v>
      </c>
      <c r="J19">
        <v>1</v>
      </c>
      <c r="K19">
        <v>0.83333333333333304</v>
      </c>
      <c r="L19">
        <v>14.0515876134645</v>
      </c>
      <c r="M19">
        <v>6.6102345897636701</v>
      </c>
      <c r="N19">
        <v>7.4413530237009198</v>
      </c>
      <c r="O19">
        <v>0.47042617329799602</v>
      </c>
      <c r="P19">
        <v>-1.6102345897636701</v>
      </c>
      <c r="Q19">
        <v>-6.4413530237009198</v>
      </c>
      <c r="R19">
        <v>0</v>
      </c>
      <c r="S19">
        <v>1</v>
      </c>
      <c r="T19">
        <v>1.8248815082421498E-2</v>
      </c>
      <c r="U19">
        <v>-1.04566072902137E-2</v>
      </c>
      <c r="V19">
        <v>16</v>
      </c>
      <c r="W19">
        <v>12</v>
      </c>
      <c r="X19">
        <v>4</v>
      </c>
      <c r="Y19">
        <v>0.75</v>
      </c>
      <c r="Z19">
        <v>17.339469670767301</v>
      </c>
      <c r="AA19">
        <v>10.620234886243599</v>
      </c>
      <c r="AB19">
        <v>6.7192347845236302</v>
      </c>
      <c r="AC19">
        <v>0.61248902578308795</v>
      </c>
      <c r="AD19">
        <v>1.3797651137563101</v>
      </c>
      <c r="AE19">
        <v>-2.7192347845236302</v>
      </c>
      <c r="AF19">
        <v>4</v>
      </c>
      <c r="AG19">
        <v>1</v>
      </c>
      <c r="AH19">
        <v>5.0405435089439801E-2</v>
      </c>
      <c r="AI19">
        <v>-3.8938071824631201E-3</v>
      </c>
      <c r="AJ19">
        <v>47</v>
      </c>
      <c r="AK19">
        <v>6</v>
      </c>
      <c r="AL19">
        <f t="shared" si="0"/>
        <v>1</v>
      </c>
      <c r="AM19">
        <f t="shared" si="1"/>
        <v>0.1276595744680851</v>
      </c>
    </row>
    <row r="20" spans="1:39" x14ac:dyDescent="0.2">
      <c r="A20" t="s">
        <v>70</v>
      </c>
      <c r="B20" t="s">
        <v>71</v>
      </c>
      <c r="C20" t="s">
        <v>37</v>
      </c>
      <c r="D20" t="s">
        <v>71</v>
      </c>
      <c r="E20">
        <v>5.0472029196112302</v>
      </c>
      <c r="F20">
        <v>4.6539387429351997</v>
      </c>
      <c r="G20">
        <v>-0.39326417667602698</v>
      </c>
      <c r="H20">
        <v>25</v>
      </c>
      <c r="I20">
        <v>16</v>
      </c>
      <c r="J20">
        <v>9</v>
      </c>
      <c r="K20">
        <v>0.64</v>
      </c>
      <c r="L20">
        <v>20.189523521670299</v>
      </c>
      <c r="M20">
        <v>11.2677923893675</v>
      </c>
      <c r="N20">
        <v>8.9217311323027602</v>
      </c>
      <c r="O20">
        <v>0.55810095653190195</v>
      </c>
      <c r="P20">
        <v>4.7322076106324298</v>
      </c>
      <c r="Q20">
        <v>7.8268867697230293E-2</v>
      </c>
      <c r="R20">
        <v>2</v>
      </c>
      <c r="S20">
        <v>2</v>
      </c>
      <c r="T20">
        <v>2.6254256855228E-2</v>
      </c>
      <c r="U20">
        <v>6.2554960706497501E-3</v>
      </c>
      <c r="V20">
        <v>16</v>
      </c>
      <c r="W20">
        <v>7</v>
      </c>
      <c r="X20">
        <v>9</v>
      </c>
      <c r="Y20">
        <v>0.4375</v>
      </c>
      <c r="Z20">
        <v>11.218668534139701</v>
      </c>
      <c r="AA20">
        <v>4.8059663554078904</v>
      </c>
      <c r="AB20">
        <v>6.4127021787318599</v>
      </c>
      <c r="AC20">
        <v>0.42839008397322298</v>
      </c>
      <c r="AD20">
        <v>2.1940336445920998</v>
      </c>
      <c r="AE20">
        <v>2.5872978212681299</v>
      </c>
      <c r="AF20">
        <v>3</v>
      </c>
      <c r="AG20">
        <v>3</v>
      </c>
      <c r="AH20">
        <v>3.65428942480122E-2</v>
      </c>
      <c r="AI20">
        <v>1.5574369595635899E-2</v>
      </c>
      <c r="AJ20">
        <v>57</v>
      </c>
      <c r="AK20">
        <v>19</v>
      </c>
      <c r="AL20">
        <f t="shared" si="0"/>
        <v>0.76</v>
      </c>
      <c r="AM20">
        <f t="shared" si="1"/>
        <v>0.33333333333333331</v>
      </c>
    </row>
    <row r="21" spans="1:39" x14ac:dyDescent="0.2">
      <c r="A21" t="s">
        <v>72</v>
      </c>
      <c r="B21" t="s">
        <v>57</v>
      </c>
      <c r="C21" t="s">
        <v>37</v>
      </c>
      <c r="D21" t="s">
        <v>57</v>
      </c>
      <c r="E21">
        <v>2.2523641108459902</v>
      </c>
      <c r="F21">
        <v>4.6473142208821203</v>
      </c>
      <c r="G21">
        <v>2.3949501100361301</v>
      </c>
      <c r="H21">
        <v>17</v>
      </c>
      <c r="I21">
        <v>11</v>
      </c>
      <c r="J21">
        <v>6</v>
      </c>
      <c r="K21">
        <v>0.64705882352941102</v>
      </c>
      <c r="L21">
        <v>13.5135271820723</v>
      </c>
      <c r="M21">
        <v>6.9331064805951197</v>
      </c>
      <c r="N21">
        <v>6.5804207014772498</v>
      </c>
      <c r="O21">
        <v>0.51304936062827999</v>
      </c>
      <c r="P21">
        <v>4.0668935194048697</v>
      </c>
      <c r="Q21">
        <v>-0.580420701477253</v>
      </c>
      <c r="R21">
        <v>1</v>
      </c>
      <c r="S21">
        <v>0</v>
      </c>
      <c r="T21">
        <v>2.0568534523702199E-2</v>
      </c>
      <c r="U21">
        <v>5.30665573504965E-3</v>
      </c>
      <c r="V21">
        <v>7</v>
      </c>
      <c r="W21">
        <v>3</v>
      </c>
      <c r="X21">
        <v>4</v>
      </c>
      <c r="Y21">
        <v>0.42857142857142799</v>
      </c>
      <c r="Z21">
        <v>9.0001584330989903</v>
      </c>
      <c r="AA21">
        <v>2.8026041615314199</v>
      </c>
      <c r="AB21">
        <v>6.1975542715675598</v>
      </c>
      <c r="AC21">
        <v>0.31139498069551302</v>
      </c>
      <c r="AD21">
        <v>0.197395838468573</v>
      </c>
      <c r="AE21">
        <v>-2.1975542715675598</v>
      </c>
      <c r="AF21">
        <v>2</v>
      </c>
      <c r="AG21">
        <v>1</v>
      </c>
      <c r="AH21">
        <v>3.4351749744652597E-2</v>
      </c>
      <c r="AI21">
        <v>-7.6341924927442297E-3</v>
      </c>
      <c r="AJ21">
        <v>48</v>
      </c>
      <c r="AK21">
        <v>12</v>
      </c>
      <c r="AL21">
        <f t="shared" si="0"/>
        <v>0.70588235294117652</v>
      </c>
      <c r="AM21">
        <f t="shared" si="1"/>
        <v>0.25</v>
      </c>
    </row>
    <row r="22" spans="1:39" x14ac:dyDescent="0.2">
      <c r="A22" t="s">
        <v>73</v>
      </c>
      <c r="B22" t="s">
        <v>74</v>
      </c>
      <c r="C22" t="s">
        <v>37</v>
      </c>
      <c r="D22" t="s">
        <v>74</v>
      </c>
      <c r="E22">
        <v>-2.50305524350664</v>
      </c>
      <c r="F22">
        <v>4.5749738664357302</v>
      </c>
      <c r="G22">
        <v>7.0780291099423698</v>
      </c>
      <c r="H22">
        <v>26</v>
      </c>
      <c r="I22">
        <v>13</v>
      </c>
      <c r="J22">
        <v>13</v>
      </c>
      <c r="K22">
        <v>0.5</v>
      </c>
      <c r="L22">
        <v>23.370736229125001</v>
      </c>
      <c r="M22">
        <v>9.3978811813446708</v>
      </c>
      <c r="N22">
        <v>13.972855047780399</v>
      </c>
      <c r="O22">
        <v>0.40212174273024598</v>
      </c>
      <c r="P22">
        <v>3.6021188186553199</v>
      </c>
      <c r="Q22">
        <v>-0.97285504778040299</v>
      </c>
      <c r="R22">
        <v>3</v>
      </c>
      <c r="S22">
        <v>0</v>
      </c>
      <c r="T22">
        <v>1.8504145866290601E-2</v>
      </c>
      <c r="U22">
        <v>2.0817607053641501E-3</v>
      </c>
      <c r="V22">
        <v>22</v>
      </c>
      <c r="W22">
        <v>14</v>
      </c>
      <c r="X22">
        <v>8</v>
      </c>
      <c r="Y22">
        <v>0.63636363636363602</v>
      </c>
      <c r="Z22">
        <v>28.309707612805401</v>
      </c>
      <c r="AA22">
        <v>13.615839251431501</v>
      </c>
      <c r="AB22">
        <v>14.6938683613739</v>
      </c>
      <c r="AC22">
        <v>0.48096008046627098</v>
      </c>
      <c r="AD22">
        <v>0.38416074856844601</v>
      </c>
      <c r="AE22">
        <v>-6.69386836137393</v>
      </c>
      <c r="AF22">
        <v>4</v>
      </c>
      <c r="AG22">
        <v>4</v>
      </c>
      <c r="AH22">
        <v>4.7982555275941398E-2</v>
      </c>
      <c r="AI22">
        <v>-1.06944196827211E-2</v>
      </c>
      <c r="AJ22">
        <v>64</v>
      </c>
      <c r="AK22">
        <v>17</v>
      </c>
      <c r="AL22">
        <f t="shared" si="0"/>
        <v>0.65384615384615385</v>
      </c>
      <c r="AM22">
        <f t="shared" si="1"/>
        <v>0.265625</v>
      </c>
    </row>
    <row r="23" spans="1:39" x14ac:dyDescent="0.2">
      <c r="A23" t="s">
        <v>75</v>
      </c>
      <c r="B23" t="s">
        <v>51</v>
      </c>
      <c r="C23" t="s">
        <v>37</v>
      </c>
      <c r="D23" t="s">
        <v>51</v>
      </c>
      <c r="E23">
        <v>6.6588051008531499</v>
      </c>
      <c r="F23">
        <v>4.5585153862197698</v>
      </c>
      <c r="G23">
        <v>-2.1002897146333699</v>
      </c>
      <c r="H23">
        <v>21</v>
      </c>
      <c r="I23">
        <v>13</v>
      </c>
      <c r="J23">
        <v>8</v>
      </c>
      <c r="K23">
        <v>0.61904761904761896</v>
      </c>
      <c r="L23">
        <v>22.291466601464901</v>
      </c>
      <c r="M23">
        <v>11.366475607622499</v>
      </c>
      <c r="N23">
        <v>10.9249909938423</v>
      </c>
      <c r="O23">
        <v>0.50990254750109598</v>
      </c>
      <c r="P23">
        <v>1.6335243923774201</v>
      </c>
      <c r="Q23">
        <v>-2.92499099384235</v>
      </c>
      <c r="R23">
        <v>4</v>
      </c>
      <c r="S23">
        <v>3</v>
      </c>
      <c r="T23">
        <v>2.0376112067152501E-2</v>
      </c>
      <c r="U23">
        <v>-1.1804996357083399E-3</v>
      </c>
      <c r="V23">
        <v>19</v>
      </c>
      <c r="W23">
        <v>7</v>
      </c>
      <c r="X23">
        <v>12</v>
      </c>
      <c r="Y23">
        <v>0.36842105263157798</v>
      </c>
      <c r="Z23">
        <v>19.833612746177401</v>
      </c>
      <c r="AA23">
        <v>8.4669512304054209</v>
      </c>
      <c r="AB23">
        <v>11.366661515772</v>
      </c>
      <c r="AC23">
        <v>0.42689908988150699</v>
      </c>
      <c r="AD23">
        <v>-1.46695123040542</v>
      </c>
      <c r="AE23">
        <v>0.63333848422795702</v>
      </c>
      <c r="AF23">
        <v>2</v>
      </c>
      <c r="AG23">
        <v>1</v>
      </c>
      <c r="AH23">
        <v>4.3494764794248797E-2</v>
      </c>
      <c r="AI23">
        <v>-1.8280981275821701E-3</v>
      </c>
      <c r="AJ23">
        <v>63</v>
      </c>
      <c r="AK23">
        <v>17</v>
      </c>
      <c r="AL23">
        <f t="shared" si="0"/>
        <v>0.80952380952380953</v>
      </c>
      <c r="AM23">
        <f t="shared" si="1"/>
        <v>0.26984126984126983</v>
      </c>
    </row>
    <row r="24" spans="1:39" x14ac:dyDescent="0.2">
      <c r="A24" t="s">
        <v>76</v>
      </c>
      <c r="B24" t="s">
        <v>49</v>
      </c>
      <c r="C24" t="s">
        <v>37</v>
      </c>
      <c r="D24" t="s">
        <v>49</v>
      </c>
      <c r="E24">
        <v>3.8127573412628402</v>
      </c>
      <c r="F24">
        <v>4.0299949313171899</v>
      </c>
      <c r="G24">
        <v>0.21723759005434501</v>
      </c>
      <c r="H24">
        <v>4</v>
      </c>
      <c r="I24">
        <v>4</v>
      </c>
      <c r="J24">
        <v>0</v>
      </c>
      <c r="K24">
        <v>1</v>
      </c>
      <c r="L24">
        <v>4.6358032134644596</v>
      </c>
      <c r="M24">
        <v>2.30290414107363</v>
      </c>
      <c r="N24">
        <v>2.3328990723908198</v>
      </c>
      <c r="O24">
        <v>0.49676486145593102</v>
      </c>
      <c r="P24">
        <v>1.6970958589263601</v>
      </c>
      <c r="Q24">
        <v>-2.3328990723908198</v>
      </c>
      <c r="R24">
        <v>2</v>
      </c>
      <c r="S24">
        <v>1</v>
      </c>
      <c r="T24">
        <v>1.8323332859543299E-2</v>
      </c>
      <c r="U24">
        <v>-2.51305617970142E-3</v>
      </c>
      <c r="V24">
        <v>3</v>
      </c>
      <c r="W24">
        <v>1</v>
      </c>
      <c r="X24">
        <v>2</v>
      </c>
      <c r="Y24">
        <v>0.33333333333333298</v>
      </c>
      <c r="Z24">
        <v>3.4140775185777299</v>
      </c>
      <c r="AA24">
        <v>1.0984199642616901</v>
      </c>
      <c r="AB24">
        <v>2.31565755431604</v>
      </c>
      <c r="AC24">
        <v>0.32173257879606698</v>
      </c>
      <c r="AD24">
        <v>-9.8419964261694901E-2</v>
      </c>
      <c r="AE24">
        <v>-0.31565755431603998</v>
      </c>
      <c r="AF24">
        <v>0</v>
      </c>
      <c r="AG24">
        <v>0</v>
      </c>
      <c r="AH24">
        <v>3.7109538245410099E-2</v>
      </c>
      <c r="AI24">
        <v>-4.5008425932362602E-3</v>
      </c>
      <c r="AJ24">
        <v>10</v>
      </c>
      <c r="AK24">
        <v>4</v>
      </c>
      <c r="AL24">
        <f t="shared" si="0"/>
        <v>1</v>
      </c>
      <c r="AM24">
        <f t="shared" si="1"/>
        <v>0.4</v>
      </c>
    </row>
    <row r="25" spans="1:39" x14ac:dyDescent="0.2">
      <c r="A25" t="s">
        <v>77</v>
      </c>
      <c r="B25" t="s">
        <v>78</v>
      </c>
      <c r="C25" t="s">
        <v>37</v>
      </c>
      <c r="D25" t="s">
        <v>78</v>
      </c>
      <c r="E25">
        <v>4.7581785651639299</v>
      </c>
      <c r="F25">
        <v>3.8698253822114399</v>
      </c>
      <c r="G25">
        <v>-0.888353182952481</v>
      </c>
      <c r="H25">
        <v>5</v>
      </c>
      <c r="I25">
        <v>5</v>
      </c>
      <c r="J25">
        <v>0</v>
      </c>
      <c r="K25">
        <v>1</v>
      </c>
      <c r="L25">
        <v>7.1044340218023798</v>
      </c>
      <c r="M25">
        <v>4.1173043197954602</v>
      </c>
      <c r="N25">
        <v>2.9871297020069099</v>
      </c>
      <c r="O25">
        <v>0.57954008822660696</v>
      </c>
      <c r="P25">
        <v>0.88269568020453304</v>
      </c>
      <c r="Q25">
        <v>-2.9871297020069099</v>
      </c>
      <c r="R25">
        <v>0</v>
      </c>
      <c r="S25">
        <v>1</v>
      </c>
      <c r="T25">
        <v>2.1398897656031202E-2</v>
      </c>
      <c r="U25">
        <v>-6.3386566921758503E-3</v>
      </c>
      <c r="V25">
        <v>6</v>
      </c>
      <c r="W25">
        <v>2</v>
      </c>
      <c r="X25">
        <v>4</v>
      </c>
      <c r="Y25">
        <v>0.33333333333333298</v>
      </c>
      <c r="Z25">
        <v>6.8941481803753497</v>
      </c>
      <c r="AA25">
        <v>2.8912506816639101</v>
      </c>
      <c r="AB25">
        <v>4.0028974987114303</v>
      </c>
      <c r="AC25">
        <v>0.41937750770922599</v>
      </c>
      <c r="AD25">
        <v>-0.89125068166391896</v>
      </c>
      <c r="AE25">
        <v>-2.89749871143824E-3</v>
      </c>
      <c r="AF25">
        <v>1</v>
      </c>
      <c r="AG25">
        <v>1</v>
      </c>
      <c r="AH25">
        <v>5.1835700604325997E-2</v>
      </c>
      <c r="AI25">
        <v>-6.7229186494387801E-3</v>
      </c>
      <c r="AJ25">
        <v>17</v>
      </c>
      <c r="AK25">
        <v>5</v>
      </c>
      <c r="AL25">
        <f t="shared" si="0"/>
        <v>1</v>
      </c>
      <c r="AM25">
        <f t="shared" si="1"/>
        <v>0.29411764705882354</v>
      </c>
    </row>
    <row r="26" spans="1:39" x14ac:dyDescent="0.2">
      <c r="A26" t="s">
        <v>79</v>
      </c>
      <c r="B26" t="s">
        <v>80</v>
      </c>
      <c r="C26" t="s">
        <v>37</v>
      </c>
      <c r="D26" t="s">
        <v>80</v>
      </c>
      <c r="E26">
        <v>4.85859294812595</v>
      </c>
      <c r="F26">
        <v>3.8229900906569698</v>
      </c>
      <c r="G26">
        <v>-1.03560285746897</v>
      </c>
      <c r="H26">
        <v>7</v>
      </c>
      <c r="I26">
        <v>6</v>
      </c>
      <c r="J26">
        <v>1</v>
      </c>
      <c r="K26">
        <v>0.85714285714285698</v>
      </c>
      <c r="L26">
        <v>19.157019971025999</v>
      </c>
      <c r="M26">
        <v>10.167014940184499</v>
      </c>
      <c r="N26">
        <v>8.9900050308415107</v>
      </c>
      <c r="O26">
        <v>0.530720067920876</v>
      </c>
      <c r="P26">
        <v>-4.1670149401845302</v>
      </c>
      <c r="Q26">
        <v>-7.9900050308415098</v>
      </c>
      <c r="R26">
        <v>1</v>
      </c>
      <c r="S26">
        <v>2</v>
      </c>
      <c r="T26">
        <v>2.1074829451073699E-2</v>
      </c>
      <c r="U26">
        <v>-1.3374059374065999E-2</v>
      </c>
      <c r="V26">
        <v>13</v>
      </c>
      <c r="W26">
        <v>5</v>
      </c>
      <c r="X26">
        <v>8</v>
      </c>
      <c r="Y26">
        <v>0.38461538461538403</v>
      </c>
      <c r="Z26">
        <v>19.848710175552199</v>
      </c>
      <c r="AA26">
        <v>8.9421565165105896</v>
      </c>
      <c r="AB26">
        <v>10.906553659041601</v>
      </c>
      <c r="AC26">
        <v>0.45051574824870499</v>
      </c>
      <c r="AD26">
        <v>-3.9421565165105998</v>
      </c>
      <c r="AE26">
        <v>-2.9065536590416201</v>
      </c>
      <c r="AF26">
        <v>4</v>
      </c>
      <c r="AG26">
        <v>0</v>
      </c>
      <c r="AH26">
        <v>4.9871131094352303E-2</v>
      </c>
      <c r="AI26">
        <v>-1.72078145114377E-2</v>
      </c>
      <c r="AJ26">
        <v>60</v>
      </c>
      <c r="AK26">
        <v>6</v>
      </c>
      <c r="AL26">
        <f t="shared" si="0"/>
        <v>0.8571428571428571</v>
      </c>
      <c r="AM26">
        <f t="shared" si="1"/>
        <v>0.1</v>
      </c>
    </row>
    <row r="27" spans="1:39" x14ac:dyDescent="0.2">
      <c r="A27" t="s">
        <v>81</v>
      </c>
      <c r="B27" t="s">
        <v>82</v>
      </c>
      <c r="C27" t="s">
        <v>37</v>
      </c>
      <c r="D27" t="s">
        <v>82</v>
      </c>
      <c r="E27">
        <v>4.5346000697608497</v>
      </c>
      <c r="F27">
        <v>3.3303082023038999</v>
      </c>
      <c r="G27">
        <v>-1.2042918674569401</v>
      </c>
      <c r="H27">
        <v>7</v>
      </c>
      <c r="I27">
        <v>5</v>
      </c>
      <c r="J27">
        <v>2</v>
      </c>
      <c r="K27">
        <v>0.71428571428571397</v>
      </c>
      <c r="L27">
        <v>8.6008468092245405</v>
      </c>
      <c r="M27">
        <v>4.1352693034603103</v>
      </c>
      <c r="N27">
        <v>4.4655775057642204</v>
      </c>
      <c r="O27">
        <v>0.480797925504867</v>
      </c>
      <c r="P27">
        <v>0.86473069653968304</v>
      </c>
      <c r="Q27">
        <v>-2.46557750576422</v>
      </c>
      <c r="R27">
        <v>1</v>
      </c>
      <c r="S27">
        <v>0</v>
      </c>
      <c r="T27">
        <v>2.0724932070420501E-2</v>
      </c>
      <c r="U27">
        <v>-3.8574621909025098E-3</v>
      </c>
      <c r="V27">
        <v>11</v>
      </c>
      <c r="W27">
        <v>4</v>
      </c>
      <c r="X27">
        <v>7</v>
      </c>
      <c r="Y27">
        <v>0.36363636363636298</v>
      </c>
      <c r="Z27">
        <v>9.1678901071036201</v>
      </c>
      <c r="AA27">
        <v>3.6860909872802798</v>
      </c>
      <c r="AB27">
        <v>5.4817991198233402</v>
      </c>
      <c r="AC27">
        <v>0.40206535464732002</v>
      </c>
      <c r="AD27">
        <v>0.313909012719717</v>
      </c>
      <c r="AE27">
        <v>1.51820088017666</v>
      </c>
      <c r="AF27">
        <v>1</v>
      </c>
      <c r="AG27">
        <v>0</v>
      </c>
      <c r="AH27">
        <v>4.7999424644521498E-2</v>
      </c>
      <c r="AI27">
        <v>9.5921983921276304E-3</v>
      </c>
      <c r="AJ27">
        <v>19</v>
      </c>
      <c r="AK27">
        <v>5</v>
      </c>
      <c r="AL27">
        <f t="shared" si="0"/>
        <v>0.7142857142857143</v>
      </c>
      <c r="AM27">
        <f t="shared" si="1"/>
        <v>0.26315789473684209</v>
      </c>
    </row>
    <row r="28" spans="1:39" x14ac:dyDescent="0.2">
      <c r="A28" t="s">
        <v>83</v>
      </c>
      <c r="B28" t="s">
        <v>84</v>
      </c>
      <c r="C28" t="s">
        <v>37</v>
      </c>
      <c r="D28" t="s">
        <v>84</v>
      </c>
      <c r="E28">
        <v>4.5351712699330902</v>
      </c>
      <c r="F28">
        <v>3.3224224773003002</v>
      </c>
      <c r="G28">
        <v>-1.21274879263278</v>
      </c>
      <c r="H28">
        <v>31</v>
      </c>
      <c r="I28">
        <v>19</v>
      </c>
      <c r="J28">
        <v>12</v>
      </c>
      <c r="K28">
        <v>0.61290322580645096</v>
      </c>
      <c r="L28">
        <v>18.9328946296297</v>
      </c>
      <c r="M28">
        <v>11.3052360761647</v>
      </c>
      <c r="N28">
        <v>7.6276585534650296</v>
      </c>
      <c r="O28">
        <v>0.59712137511567598</v>
      </c>
      <c r="P28">
        <v>7.6947639238352599</v>
      </c>
      <c r="Q28">
        <v>4.3723414465349597</v>
      </c>
      <c r="R28">
        <v>3</v>
      </c>
      <c r="S28">
        <v>1</v>
      </c>
      <c r="T28">
        <v>2.0782540757003001E-2</v>
      </c>
      <c r="U28">
        <v>1.32459993088586E-2</v>
      </c>
      <c r="V28">
        <v>22</v>
      </c>
      <c r="W28">
        <v>8</v>
      </c>
      <c r="X28">
        <v>14</v>
      </c>
      <c r="Y28">
        <v>0.36363636363636298</v>
      </c>
      <c r="Z28">
        <v>17.718151994060801</v>
      </c>
      <c r="AA28">
        <v>6.4654503933468099</v>
      </c>
      <c r="AB28">
        <v>11.252701600713999</v>
      </c>
      <c r="AC28">
        <v>0.36490545941326402</v>
      </c>
      <c r="AD28">
        <v>1.5345496066531801</v>
      </c>
      <c r="AE28">
        <v>2.7472983992859699</v>
      </c>
      <c r="AF28">
        <v>4</v>
      </c>
      <c r="AG28">
        <v>1</v>
      </c>
      <c r="AH28">
        <v>3.9995828429031197E-2</v>
      </c>
      <c r="AI28">
        <v>9.6655711195015002E-3</v>
      </c>
      <c r="AJ28">
        <v>54</v>
      </c>
      <c r="AK28">
        <v>20</v>
      </c>
      <c r="AL28">
        <f t="shared" si="0"/>
        <v>0.64516129032258063</v>
      </c>
      <c r="AM28">
        <f t="shared" si="1"/>
        <v>0.37037037037037035</v>
      </c>
    </row>
    <row r="29" spans="1:39" x14ac:dyDescent="0.2">
      <c r="A29" t="s">
        <v>85</v>
      </c>
      <c r="B29" t="s">
        <v>86</v>
      </c>
      <c r="C29" t="s">
        <v>37</v>
      </c>
      <c r="D29" t="s">
        <v>86</v>
      </c>
      <c r="E29">
        <v>5.7513419620778699</v>
      </c>
      <c r="F29">
        <v>3.2536617364696099</v>
      </c>
      <c r="G29">
        <v>-2.49768022560826</v>
      </c>
      <c r="H29">
        <v>7</v>
      </c>
      <c r="I29">
        <v>6</v>
      </c>
      <c r="J29">
        <v>1</v>
      </c>
      <c r="K29">
        <v>0.85714285714285698</v>
      </c>
      <c r="L29">
        <v>7.3928201904998199</v>
      </c>
      <c r="M29">
        <v>4.5695792270151001</v>
      </c>
      <c r="N29">
        <v>2.82324096348471</v>
      </c>
      <c r="O29">
        <v>0.618110424609983</v>
      </c>
      <c r="P29">
        <v>1.4304207729848899</v>
      </c>
      <c r="Q29">
        <v>-1.82324096348471</v>
      </c>
      <c r="R29">
        <v>0</v>
      </c>
      <c r="S29">
        <v>0</v>
      </c>
      <c r="T29">
        <v>2.4398746503299699E-2</v>
      </c>
      <c r="U29">
        <v>-1.29643627227664E-3</v>
      </c>
      <c r="V29">
        <v>5</v>
      </c>
      <c r="W29">
        <v>1</v>
      </c>
      <c r="X29">
        <v>4</v>
      </c>
      <c r="Y29">
        <v>0.2</v>
      </c>
      <c r="Z29">
        <v>4.3652622863095702</v>
      </c>
      <c r="AA29">
        <v>1.93147125595892</v>
      </c>
      <c r="AB29">
        <v>2.4337910303506498</v>
      </c>
      <c r="AC29">
        <v>0.44246396419670803</v>
      </c>
      <c r="AD29">
        <v>-0.93147125595892</v>
      </c>
      <c r="AE29">
        <v>1.56620896964934</v>
      </c>
      <c r="AF29">
        <v>0</v>
      </c>
      <c r="AG29">
        <v>0</v>
      </c>
      <c r="AH29">
        <v>4.0048277856051098E-2</v>
      </c>
      <c r="AI29">
        <v>5.82328177697637E-3</v>
      </c>
      <c r="AJ29">
        <v>29</v>
      </c>
      <c r="AK29">
        <v>7</v>
      </c>
      <c r="AL29">
        <f t="shared" si="0"/>
        <v>1</v>
      </c>
      <c r="AM29">
        <f t="shared" si="1"/>
        <v>0.2413793103448276</v>
      </c>
    </row>
    <row r="30" spans="1:39" x14ac:dyDescent="0.2">
      <c r="A30" t="s">
        <v>87</v>
      </c>
      <c r="B30" t="s">
        <v>88</v>
      </c>
      <c r="C30" t="s">
        <v>37</v>
      </c>
      <c r="D30" t="s">
        <v>88</v>
      </c>
      <c r="E30">
        <v>2.1678451335907001</v>
      </c>
      <c r="F30">
        <v>3.2009032153527102</v>
      </c>
      <c r="G30">
        <v>1.0330580817620101</v>
      </c>
      <c r="H30">
        <v>13</v>
      </c>
      <c r="I30">
        <v>7</v>
      </c>
      <c r="J30">
        <v>6</v>
      </c>
      <c r="K30">
        <v>0.53846153846153799</v>
      </c>
      <c r="L30">
        <v>11.3055054640484</v>
      </c>
      <c r="M30">
        <v>4.5523011243478697</v>
      </c>
      <c r="N30">
        <v>6.7532043397005799</v>
      </c>
      <c r="O30">
        <v>0.40266232578668898</v>
      </c>
      <c r="P30">
        <v>2.4476988756521298</v>
      </c>
      <c r="Q30">
        <v>-0.75320433970058598</v>
      </c>
      <c r="R30">
        <v>1</v>
      </c>
      <c r="S30">
        <v>1</v>
      </c>
      <c r="T30">
        <v>2.08204520516546E-2</v>
      </c>
      <c r="U30">
        <v>3.1206160883085598E-3</v>
      </c>
      <c r="V30">
        <v>11</v>
      </c>
      <c r="W30">
        <v>6</v>
      </c>
      <c r="X30">
        <v>5</v>
      </c>
      <c r="Y30">
        <v>0.54545454545454497</v>
      </c>
      <c r="Z30">
        <v>13.0435511830441</v>
      </c>
      <c r="AA30">
        <v>6.5052465506410604</v>
      </c>
      <c r="AB30">
        <v>6.5383046324030802</v>
      </c>
      <c r="AC30">
        <v>0.49873278061709903</v>
      </c>
      <c r="AD30">
        <v>-0.50524655064106705</v>
      </c>
      <c r="AE30">
        <v>-1.53830463240308</v>
      </c>
      <c r="AF30">
        <v>0</v>
      </c>
      <c r="AG30">
        <v>2</v>
      </c>
      <c r="AH30">
        <v>5.1555538272901699E-2</v>
      </c>
      <c r="AI30">
        <v>-8.0772774033365594E-3</v>
      </c>
      <c r="AJ30">
        <v>31</v>
      </c>
      <c r="AK30">
        <v>9</v>
      </c>
      <c r="AL30">
        <f t="shared" si="0"/>
        <v>0.69230769230769229</v>
      </c>
      <c r="AM30">
        <f t="shared" si="1"/>
        <v>0.29032258064516131</v>
      </c>
    </row>
    <row r="31" spans="1:39" x14ac:dyDescent="0.2">
      <c r="A31" t="s">
        <v>89</v>
      </c>
      <c r="B31" t="s">
        <v>39</v>
      </c>
      <c r="C31" t="s">
        <v>37</v>
      </c>
      <c r="D31" t="s">
        <v>39</v>
      </c>
      <c r="E31">
        <v>4.9582123347008604</v>
      </c>
      <c r="F31">
        <v>3.1052037664075698</v>
      </c>
      <c r="G31">
        <v>-1.85300856829329</v>
      </c>
      <c r="H31">
        <v>5</v>
      </c>
      <c r="I31">
        <v>4</v>
      </c>
      <c r="J31">
        <v>1</v>
      </c>
      <c r="K31">
        <v>0.8</v>
      </c>
      <c r="L31">
        <v>9.8723108579389098</v>
      </c>
      <c r="M31">
        <v>4.88355354576567</v>
      </c>
      <c r="N31">
        <v>4.9887573121732398</v>
      </c>
      <c r="O31">
        <v>0.49467177604506901</v>
      </c>
      <c r="P31">
        <v>-0.88355354576567002</v>
      </c>
      <c r="Q31">
        <v>-3.9887573121732398</v>
      </c>
      <c r="R31">
        <v>1</v>
      </c>
      <c r="S31">
        <v>1</v>
      </c>
      <c r="T31">
        <v>1.9626860552562402E-2</v>
      </c>
      <c r="U31">
        <v>-9.6865026996797495E-3</v>
      </c>
      <c r="V31">
        <v>10</v>
      </c>
      <c r="W31">
        <v>4</v>
      </c>
      <c r="X31">
        <v>6</v>
      </c>
      <c r="Y31">
        <v>0.4</v>
      </c>
      <c r="Z31">
        <v>10.4048747758877</v>
      </c>
      <c r="AA31">
        <v>5.1289416720904901</v>
      </c>
      <c r="AB31">
        <v>5.2759331037972004</v>
      </c>
      <c r="AC31">
        <v>0.49293641514805397</v>
      </c>
      <c r="AD31">
        <v>-1.1289416720904899</v>
      </c>
      <c r="AE31">
        <v>0.72406689620279896</v>
      </c>
      <c r="AF31">
        <v>1</v>
      </c>
      <c r="AG31">
        <v>0</v>
      </c>
      <c r="AH31">
        <v>4.8620910167699503E-2</v>
      </c>
      <c r="AI31">
        <v>-1.8919382050827101E-3</v>
      </c>
      <c r="AJ31">
        <v>28</v>
      </c>
      <c r="AK31">
        <v>5</v>
      </c>
      <c r="AL31">
        <f t="shared" si="0"/>
        <v>1</v>
      </c>
      <c r="AM31">
        <f t="shared" si="1"/>
        <v>0.17857142857142858</v>
      </c>
    </row>
    <row r="32" spans="1:39" x14ac:dyDescent="0.2">
      <c r="A32" t="s">
        <v>90</v>
      </c>
      <c r="B32" t="s">
        <v>78</v>
      </c>
      <c r="C32" t="s">
        <v>37</v>
      </c>
      <c r="D32" t="s">
        <v>78</v>
      </c>
      <c r="E32">
        <v>3.47349008485959</v>
      </c>
      <c r="F32">
        <v>3.0765119703733101</v>
      </c>
      <c r="G32">
        <v>-0.39697811448628201</v>
      </c>
      <c r="H32">
        <v>19</v>
      </c>
      <c r="I32">
        <v>12</v>
      </c>
      <c r="J32">
        <v>7</v>
      </c>
      <c r="K32">
        <v>0.63157894736842102</v>
      </c>
      <c r="L32">
        <v>13.7380141458212</v>
      </c>
      <c r="M32">
        <v>7.8307510877239501</v>
      </c>
      <c r="N32">
        <v>5.9072630580972598</v>
      </c>
      <c r="O32">
        <v>0.57000604342119399</v>
      </c>
      <c r="P32">
        <v>4.1692489122760401</v>
      </c>
      <c r="Q32">
        <v>1.09273694190273</v>
      </c>
      <c r="R32">
        <v>3</v>
      </c>
      <c r="S32">
        <v>1</v>
      </c>
      <c r="T32">
        <v>2.3686231285898598E-2</v>
      </c>
      <c r="U32">
        <v>9.0723894037565093E-3</v>
      </c>
      <c r="V32">
        <v>17</v>
      </c>
      <c r="W32">
        <v>7</v>
      </c>
      <c r="X32">
        <v>10</v>
      </c>
      <c r="Y32">
        <v>0.41176470588235198</v>
      </c>
      <c r="Z32">
        <v>10.780081747792201</v>
      </c>
      <c r="AA32">
        <v>4.0885299311392496</v>
      </c>
      <c r="AB32">
        <v>6.6915518166529697</v>
      </c>
      <c r="AC32">
        <v>0.37926706186403297</v>
      </c>
      <c r="AD32">
        <v>2.9114700688607398</v>
      </c>
      <c r="AE32">
        <v>3.3084481833470201</v>
      </c>
      <c r="AF32">
        <v>3</v>
      </c>
      <c r="AG32">
        <v>2</v>
      </c>
      <c r="AH32">
        <v>4.3468071563678302E-2</v>
      </c>
      <c r="AI32">
        <v>2.5080315533095799E-2</v>
      </c>
      <c r="AJ32">
        <v>50</v>
      </c>
      <c r="AK32">
        <v>13</v>
      </c>
      <c r="AL32">
        <f t="shared" si="0"/>
        <v>0.68421052631578949</v>
      </c>
      <c r="AM32">
        <f t="shared" si="1"/>
        <v>0.26</v>
      </c>
    </row>
    <row r="33" spans="1:39" x14ac:dyDescent="0.2">
      <c r="A33" t="s">
        <v>91</v>
      </c>
      <c r="B33" t="s">
        <v>36</v>
      </c>
      <c r="C33" t="s">
        <v>37</v>
      </c>
      <c r="D33" t="s">
        <v>36</v>
      </c>
      <c r="E33">
        <v>1.7937471090164101</v>
      </c>
      <c r="F33">
        <v>2.91672083845098</v>
      </c>
      <c r="G33">
        <v>1.1229737294345601</v>
      </c>
      <c r="H33">
        <v>23</v>
      </c>
      <c r="I33">
        <v>14</v>
      </c>
      <c r="J33">
        <v>9</v>
      </c>
      <c r="K33">
        <v>0.60869565217391297</v>
      </c>
      <c r="L33">
        <v>13.9404020117118</v>
      </c>
      <c r="M33">
        <v>8.0118405866304201</v>
      </c>
      <c r="N33">
        <v>5.9285614250814103</v>
      </c>
      <c r="O33">
        <v>0.57472091406685299</v>
      </c>
      <c r="P33">
        <v>5.9881594133695701</v>
      </c>
      <c r="Q33">
        <v>3.07143857491858</v>
      </c>
      <c r="R33">
        <v>6</v>
      </c>
      <c r="S33">
        <v>3</v>
      </c>
      <c r="T33">
        <v>2.14467723257105E-2</v>
      </c>
      <c r="U33">
        <v>1.39378430589048E-2</v>
      </c>
      <c r="V33">
        <v>16</v>
      </c>
      <c r="W33">
        <v>7</v>
      </c>
      <c r="X33">
        <v>9</v>
      </c>
      <c r="Y33">
        <v>0.4375</v>
      </c>
      <c r="Z33">
        <v>10.684509115345801</v>
      </c>
      <c r="AA33">
        <v>3.7807676929556102</v>
      </c>
      <c r="AB33">
        <v>6.9037414223901798</v>
      </c>
      <c r="AC33">
        <v>0.35385506738212502</v>
      </c>
      <c r="AD33">
        <v>3.21923230704438</v>
      </c>
      <c r="AE33">
        <v>2.0962585776098099</v>
      </c>
      <c r="AF33">
        <v>1</v>
      </c>
      <c r="AG33">
        <v>0</v>
      </c>
      <c r="AH33">
        <v>4.0167327501299997E-2</v>
      </c>
      <c r="AI33">
        <v>1.9983048438549599E-2</v>
      </c>
      <c r="AJ33">
        <v>45</v>
      </c>
      <c r="AK33">
        <v>14</v>
      </c>
      <c r="AL33">
        <f t="shared" si="0"/>
        <v>0.60869565217391308</v>
      </c>
      <c r="AM33">
        <f t="shared" si="1"/>
        <v>0.31111111111111112</v>
      </c>
    </row>
    <row r="34" spans="1:39" x14ac:dyDescent="0.2">
      <c r="A34" t="s">
        <v>92</v>
      </c>
      <c r="B34" t="s">
        <v>47</v>
      </c>
      <c r="C34" t="s">
        <v>37</v>
      </c>
      <c r="D34" t="s">
        <v>47</v>
      </c>
      <c r="E34">
        <v>0.63433216180484597</v>
      </c>
      <c r="F34">
        <v>1.9640398225370499</v>
      </c>
      <c r="G34">
        <v>1.32970766073221</v>
      </c>
      <c r="H34">
        <v>28</v>
      </c>
      <c r="I34">
        <v>17</v>
      </c>
      <c r="J34">
        <v>11</v>
      </c>
      <c r="K34">
        <v>0.60714285714285698</v>
      </c>
      <c r="L34">
        <v>22.6591427629603</v>
      </c>
      <c r="M34">
        <v>13.3475514702116</v>
      </c>
      <c r="N34">
        <v>9.3115912927487301</v>
      </c>
      <c r="O34">
        <v>0.589058094996874</v>
      </c>
      <c r="P34">
        <v>3.6524485297883298</v>
      </c>
      <c r="Q34">
        <v>1.6884087072512699</v>
      </c>
      <c r="R34">
        <v>11</v>
      </c>
      <c r="S34">
        <v>0</v>
      </c>
      <c r="T34">
        <v>2.1766707745398999E-2</v>
      </c>
      <c r="U34">
        <v>5.1305064716998996E-3</v>
      </c>
      <c r="V34">
        <v>18</v>
      </c>
      <c r="W34">
        <v>8</v>
      </c>
      <c r="X34">
        <v>10</v>
      </c>
      <c r="Y34">
        <v>0.44444444444444398</v>
      </c>
      <c r="Z34">
        <v>18.8366822377013</v>
      </c>
      <c r="AA34">
        <v>7.7534872884845898</v>
      </c>
      <c r="AB34">
        <v>11.0831949492168</v>
      </c>
      <c r="AC34">
        <v>0.41161639776276898</v>
      </c>
      <c r="AD34">
        <v>0.24651271151540499</v>
      </c>
      <c r="AE34">
        <v>-1.0831949492168</v>
      </c>
      <c r="AF34">
        <v>1</v>
      </c>
      <c r="AG34">
        <v>1</v>
      </c>
      <c r="AH34">
        <v>4.09493092123943E-2</v>
      </c>
      <c r="AI34">
        <v>-1.8188744297856401E-3</v>
      </c>
      <c r="AJ34">
        <v>75</v>
      </c>
      <c r="AK34">
        <v>23</v>
      </c>
      <c r="AL34">
        <f t="shared" si="0"/>
        <v>0.8214285714285714</v>
      </c>
      <c r="AM34">
        <f t="shared" si="1"/>
        <v>0.30666666666666664</v>
      </c>
    </row>
    <row r="35" spans="1:39" x14ac:dyDescent="0.2">
      <c r="A35" t="s">
        <v>93</v>
      </c>
      <c r="B35" t="s">
        <v>94</v>
      </c>
      <c r="C35" t="s">
        <v>37</v>
      </c>
      <c r="D35" t="s">
        <v>94</v>
      </c>
      <c r="E35">
        <v>0.33514837650038298</v>
      </c>
      <c r="F35">
        <v>1.8568063031522399</v>
      </c>
      <c r="G35">
        <v>1.5216579266518599</v>
      </c>
      <c r="H35">
        <v>16</v>
      </c>
      <c r="I35">
        <v>11</v>
      </c>
      <c r="J35">
        <v>5</v>
      </c>
      <c r="K35">
        <v>0.6875</v>
      </c>
      <c r="L35">
        <v>11.1497238637305</v>
      </c>
      <c r="M35">
        <v>7.6464587802891302</v>
      </c>
      <c r="N35">
        <v>3.5032650834413799</v>
      </c>
      <c r="O35">
        <v>0.68579804071764205</v>
      </c>
      <c r="P35">
        <v>3.3535412197108601</v>
      </c>
      <c r="Q35">
        <v>1.4967349165586099</v>
      </c>
      <c r="R35">
        <v>5</v>
      </c>
      <c r="S35">
        <v>2</v>
      </c>
      <c r="T35">
        <v>2.0017457565045801E-2</v>
      </c>
      <c r="U35">
        <v>8.7078566180780591E-3</v>
      </c>
      <c r="V35">
        <v>16</v>
      </c>
      <c r="W35">
        <v>8</v>
      </c>
      <c r="X35">
        <v>8</v>
      </c>
      <c r="Y35">
        <v>0.5</v>
      </c>
      <c r="Z35">
        <v>12.079215452511599</v>
      </c>
      <c r="AA35">
        <v>5.2787787629299103</v>
      </c>
      <c r="AB35">
        <v>6.8004366895817698</v>
      </c>
      <c r="AC35">
        <v>0.437013379195274</v>
      </c>
      <c r="AD35">
        <v>2.7212212370700799</v>
      </c>
      <c r="AE35">
        <v>1.19956331041822</v>
      </c>
      <c r="AF35">
        <v>3</v>
      </c>
      <c r="AG35">
        <v>1</v>
      </c>
      <c r="AH35">
        <v>4.5240507312777803E-2</v>
      </c>
      <c r="AI35">
        <v>1.46845863201809E-2</v>
      </c>
      <c r="AJ35">
        <v>36</v>
      </c>
      <c r="AK35">
        <v>12</v>
      </c>
      <c r="AL35">
        <f t="shared" si="0"/>
        <v>0.75</v>
      </c>
      <c r="AM35">
        <f t="shared" si="1"/>
        <v>0.33333333333333331</v>
      </c>
    </row>
    <row r="36" spans="1:39" x14ac:dyDescent="0.2">
      <c r="A36" t="s">
        <v>95</v>
      </c>
      <c r="B36" t="s">
        <v>96</v>
      </c>
      <c r="C36" t="s">
        <v>37</v>
      </c>
      <c r="D36" t="s">
        <v>96</v>
      </c>
      <c r="E36">
        <v>-4.8554530263457396</v>
      </c>
      <c r="F36">
        <v>1.8345459991956901</v>
      </c>
      <c r="G36">
        <v>6.6899990255414297</v>
      </c>
      <c r="H36">
        <v>11</v>
      </c>
      <c r="I36">
        <v>8</v>
      </c>
      <c r="J36">
        <v>3</v>
      </c>
      <c r="K36">
        <v>0.72727272727272696</v>
      </c>
      <c r="L36">
        <v>24.1341164321626</v>
      </c>
      <c r="M36">
        <v>13.6497852164834</v>
      </c>
      <c r="N36">
        <v>10.4843312156791</v>
      </c>
      <c r="O36">
        <v>0.56558048250288995</v>
      </c>
      <c r="P36">
        <v>-5.6497852164834503</v>
      </c>
      <c r="Q36">
        <v>-7.4843312156791502</v>
      </c>
      <c r="R36">
        <v>4</v>
      </c>
      <c r="S36">
        <v>1</v>
      </c>
      <c r="T36">
        <v>2.2768034369964701E-2</v>
      </c>
      <c r="U36">
        <v>-1.2390675879398599E-2</v>
      </c>
      <c r="V36">
        <v>13</v>
      </c>
      <c r="W36">
        <v>7</v>
      </c>
      <c r="X36">
        <v>6</v>
      </c>
      <c r="Y36">
        <v>0.53846153846153799</v>
      </c>
      <c r="Z36">
        <v>15.6243139905503</v>
      </c>
      <c r="AA36">
        <v>4.9671574825044598</v>
      </c>
      <c r="AB36">
        <v>10.657156508045899</v>
      </c>
      <c r="AC36">
        <v>0.31791203668260998</v>
      </c>
      <c r="AD36">
        <v>2.03284251749553</v>
      </c>
      <c r="AE36">
        <v>-4.6571565080459001</v>
      </c>
      <c r="AF36">
        <v>0</v>
      </c>
      <c r="AG36">
        <v>0</v>
      </c>
      <c r="AH36">
        <v>3.5590692461390301E-2</v>
      </c>
      <c r="AI36">
        <v>-5.9779361971534703E-3</v>
      </c>
      <c r="AJ36">
        <v>72</v>
      </c>
      <c r="AK36">
        <v>10</v>
      </c>
      <c r="AL36">
        <f t="shared" si="0"/>
        <v>0.90909090909090906</v>
      </c>
      <c r="AM36">
        <f t="shared" si="1"/>
        <v>0.1388888888888889</v>
      </c>
    </row>
    <row r="37" spans="1:39" x14ac:dyDescent="0.2">
      <c r="A37" t="s">
        <v>97</v>
      </c>
      <c r="B37" t="s">
        <v>86</v>
      </c>
      <c r="C37" t="s">
        <v>37</v>
      </c>
      <c r="D37" t="s">
        <v>86</v>
      </c>
      <c r="E37">
        <v>-3.4015771945540298</v>
      </c>
      <c r="F37">
        <v>1.73123558097824</v>
      </c>
      <c r="G37">
        <v>5.1328127755322797</v>
      </c>
      <c r="H37">
        <v>36</v>
      </c>
      <c r="I37">
        <v>19</v>
      </c>
      <c r="J37">
        <v>17</v>
      </c>
      <c r="K37">
        <v>0.52777777777777701</v>
      </c>
      <c r="L37">
        <v>23.8204537289783</v>
      </c>
      <c r="M37">
        <v>12.044609074</v>
      </c>
      <c r="N37">
        <v>11.775844654978201</v>
      </c>
      <c r="O37">
        <v>0.50564146304851398</v>
      </c>
      <c r="P37">
        <v>6.9553909259999598</v>
      </c>
      <c r="Q37">
        <v>5.2241553450217202</v>
      </c>
      <c r="R37">
        <v>2</v>
      </c>
      <c r="S37">
        <v>2</v>
      </c>
      <c r="T37">
        <v>2.1518025048760801E-2</v>
      </c>
      <c r="U37">
        <v>1.10023001544911E-2</v>
      </c>
      <c r="V37">
        <v>19</v>
      </c>
      <c r="W37">
        <v>8</v>
      </c>
      <c r="X37">
        <v>11</v>
      </c>
      <c r="Y37">
        <v>0.42105263157894701</v>
      </c>
      <c r="Z37">
        <v>20.471511560009599</v>
      </c>
      <c r="AA37">
        <v>6.1693493922386597</v>
      </c>
      <c r="AB37">
        <v>14.3021621677709</v>
      </c>
      <c r="AC37">
        <v>0.30136267046788401</v>
      </c>
      <c r="AD37">
        <v>1.83065060776133</v>
      </c>
      <c r="AE37">
        <v>-3.3021621677709398</v>
      </c>
      <c r="AF37">
        <v>0</v>
      </c>
      <c r="AG37">
        <v>0</v>
      </c>
      <c r="AH37">
        <v>3.5114085008592803E-2</v>
      </c>
      <c r="AI37">
        <v>-2.5240335506168201E-3</v>
      </c>
      <c r="AJ37">
        <v>75</v>
      </c>
      <c r="AK37">
        <v>25</v>
      </c>
      <c r="AL37">
        <f t="shared" si="0"/>
        <v>0.69444444444444442</v>
      </c>
      <c r="AM37">
        <f t="shared" si="1"/>
        <v>0.33333333333333331</v>
      </c>
    </row>
    <row r="38" spans="1:39" x14ac:dyDescent="0.2">
      <c r="A38" t="s">
        <v>98</v>
      </c>
      <c r="B38" t="s">
        <v>88</v>
      </c>
      <c r="C38" t="s">
        <v>37</v>
      </c>
      <c r="D38" t="s">
        <v>88</v>
      </c>
      <c r="E38">
        <v>4.8062907480060604</v>
      </c>
      <c r="F38">
        <v>1.61447650967643</v>
      </c>
      <c r="G38">
        <v>-3.19181423832962</v>
      </c>
      <c r="H38">
        <v>17</v>
      </c>
      <c r="I38">
        <v>10</v>
      </c>
      <c r="J38">
        <v>7</v>
      </c>
      <c r="K38">
        <v>0.58823529411764697</v>
      </c>
      <c r="L38">
        <v>15.980732322479</v>
      </c>
      <c r="M38">
        <v>8.6831279064013103</v>
      </c>
      <c r="N38">
        <v>7.2976044160777498</v>
      </c>
      <c r="O38">
        <v>0.54334981221025203</v>
      </c>
      <c r="P38">
        <v>1.31687209359868</v>
      </c>
      <c r="Q38">
        <v>-0.29760441607775201</v>
      </c>
      <c r="R38">
        <v>4</v>
      </c>
      <c r="S38">
        <v>1</v>
      </c>
      <c r="T38">
        <v>2.2042389410315898E-2</v>
      </c>
      <c r="U38">
        <v>1.4058864517530001E-3</v>
      </c>
      <c r="V38">
        <v>16</v>
      </c>
      <c r="W38">
        <v>7</v>
      </c>
      <c r="X38">
        <v>9</v>
      </c>
      <c r="Y38">
        <v>0.4375</v>
      </c>
      <c r="Z38">
        <v>17.8646179484894</v>
      </c>
      <c r="AA38">
        <v>9.5282160934095508</v>
      </c>
      <c r="AB38">
        <v>8.3364018550799308</v>
      </c>
      <c r="AC38">
        <v>0.53335683533132505</v>
      </c>
      <c r="AD38">
        <v>-2.5282160934095499</v>
      </c>
      <c r="AE38">
        <v>0.66359814492006797</v>
      </c>
      <c r="AF38">
        <v>1</v>
      </c>
      <c r="AG38">
        <v>0</v>
      </c>
      <c r="AH38">
        <v>5.0040946634424301E-2</v>
      </c>
      <c r="AI38">
        <v>-5.2230194635559998E-3</v>
      </c>
      <c r="AJ38">
        <v>40</v>
      </c>
      <c r="AK38">
        <v>11</v>
      </c>
      <c r="AL38">
        <f t="shared" si="0"/>
        <v>0.6470588235294118</v>
      </c>
      <c r="AM38">
        <f t="shared" si="1"/>
        <v>0.27500000000000002</v>
      </c>
    </row>
    <row r="39" spans="1:39" x14ac:dyDescent="0.2">
      <c r="A39" t="s">
        <v>99</v>
      </c>
      <c r="B39" t="s">
        <v>53</v>
      </c>
      <c r="C39" t="s">
        <v>37</v>
      </c>
      <c r="D39" t="s">
        <v>53</v>
      </c>
      <c r="E39">
        <v>1.5680559887041301</v>
      </c>
      <c r="F39">
        <v>1.4697730536037299</v>
      </c>
      <c r="G39">
        <v>-9.8282935100392793E-2</v>
      </c>
      <c r="H39">
        <v>2</v>
      </c>
      <c r="I39">
        <v>2</v>
      </c>
      <c r="J39">
        <v>0</v>
      </c>
      <c r="K39">
        <v>1</v>
      </c>
      <c r="L39">
        <v>1.1974001879070699</v>
      </c>
      <c r="M39">
        <v>0.86381356715166802</v>
      </c>
      <c r="N39">
        <v>0.33358662075540502</v>
      </c>
      <c r="O39">
        <v>0.72140757607656703</v>
      </c>
      <c r="P39">
        <v>1.13618643284833</v>
      </c>
      <c r="Q39">
        <v>-0.33358662075540502</v>
      </c>
      <c r="R39">
        <v>1</v>
      </c>
      <c r="S39">
        <v>1</v>
      </c>
      <c r="T39">
        <v>1.7353625911696698E-2</v>
      </c>
      <c r="U39">
        <v>1.1631881334679999E-2</v>
      </c>
      <c r="V39">
        <v>1</v>
      </c>
      <c r="W39">
        <v>0</v>
      </c>
      <c r="X39">
        <v>1</v>
      </c>
      <c r="Z39">
        <v>0.90171706489960701</v>
      </c>
      <c r="AA39">
        <v>0</v>
      </c>
      <c r="AB39">
        <v>0.90171706489960701</v>
      </c>
      <c r="AD39">
        <v>0</v>
      </c>
      <c r="AE39">
        <v>9.8282935100392793E-2</v>
      </c>
      <c r="AF39">
        <v>0</v>
      </c>
      <c r="AG39">
        <v>0</v>
      </c>
      <c r="AH39">
        <v>0.11271463311245</v>
      </c>
      <c r="AI39">
        <v>1.2285366887549099E-2</v>
      </c>
      <c r="AJ39">
        <v>2</v>
      </c>
      <c r="AK39">
        <v>2</v>
      </c>
      <c r="AL39">
        <f t="shared" si="0"/>
        <v>1</v>
      </c>
      <c r="AM39">
        <f t="shared" si="1"/>
        <v>1</v>
      </c>
    </row>
    <row r="40" spans="1:39" x14ac:dyDescent="0.2">
      <c r="A40" t="s">
        <v>100</v>
      </c>
      <c r="B40" t="s">
        <v>59</v>
      </c>
      <c r="C40" t="s">
        <v>37</v>
      </c>
      <c r="D40" t="s">
        <v>59</v>
      </c>
      <c r="E40">
        <v>-2.8289110434320102</v>
      </c>
      <c r="F40">
        <v>1.2315077209193801</v>
      </c>
      <c r="G40">
        <v>4.0604187643513896</v>
      </c>
      <c r="H40">
        <v>6</v>
      </c>
      <c r="I40">
        <v>5</v>
      </c>
      <c r="J40">
        <v>1</v>
      </c>
      <c r="K40">
        <v>0.83333333333333304</v>
      </c>
      <c r="L40">
        <v>8.7585230438272497</v>
      </c>
      <c r="M40">
        <v>5.7635076614539296</v>
      </c>
      <c r="N40">
        <v>2.9950153823733099</v>
      </c>
      <c r="O40">
        <v>0.65804561255517602</v>
      </c>
      <c r="P40">
        <v>-0.763507661453936</v>
      </c>
      <c r="Q40">
        <v>-1.9950153823733101</v>
      </c>
      <c r="R40">
        <v>0</v>
      </c>
      <c r="S40">
        <v>0</v>
      </c>
      <c r="T40">
        <v>2.5684818310343801E-2</v>
      </c>
      <c r="U40">
        <v>-8.0895103924552899E-3</v>
      </c>
      <c r="V40">
        <v>13</v>
      </c>
      <c r="W40">
        <v>8</v>
      </c>
      <c r="X40">
        <v>5</v>
      </c>
      <c r="Y40">
        <v>0.61538461538461497</v>
      </c>
      <c r="Z40">
        <v>9.8658831699026095</v>
      </c>
      <c r="AA40">
        <v>4.4027322027756002</v>
      </c>
      <c r="AB40">
        <v>5.4631509671270004</v>
      </c>
      <c r="AC40">
        <v>0.44625829507152598</v>
      </c>
      <c r="AD40">
        <v>3.5972677972243901</v>
      </c>
      <c r="AE40">
        <v>-0.46315096712700699</v>
      </c>
      <c r="AF40">
        <v>3</v>
      </c>
      <c r="AG40">
        <v>1</v>
      </c>
      <c r="AH40">
        <v>5.1925700894224297E-2</v>
      </c>
      <c r="AI40">
        <v>1.6495351737354599E-2</v>
      </c>
      <c r="AJ40">
        <v>28</v>
      </c>
      <c r="AK40">
        <v>5</v>
      </c>
      <c r="AL40">
        <f t="shared" si="0"/>
        <v>0.83333333333333337</v>
      </c>
      <c r="AM40">
        <f t="shared" si="1"/>
        <v>0.17857142857142858</v>
      </c>
    </row>
    <row r="41" spans="1:39" x14ac:dyDescent="0.2">
      <c r="A41" t="s">
        <v>101</v>
      </c>
      <c r="B41" t="s">
        <v>102</v>
      </c>
      <c r="C41" t="s">
        <v>37</v>
      </c>
      <c r="D41" t="s">
        <v>102</v>
      </c>
      <c r="E41">
        <v>0.93555849058506801</v>
      </c>
      <c r="F41">
        <v>1.2211169760226499</v>
      </c>
      <c r="G41">
        <v>0.285558485437585</v>
      </c>
      <c r="H41">
        <v>8</v>
      </c>
      <c r="I41">
        <v>5</v>
      </c>
      <c r="J41">
        <v>3</v>
      </c>
      <c r="K41">
        <v>0.625</v>
      </c>
      <c r="L41">
        <v>10.522639368923899</v>
      </c>
      <c r="M41">
        <v>5.6507611964506301</v>
      </c>
      <c r="N41">
        <v>4.8718781724732798</v>
      </c>
      <c r="O41">
        <v>0.53700986970424802</v>
      </c>
      <c r="P41">
        <v>-0.65076119645063402</v>
      </c>
      <c r="Q41">
        <v>-1.87187817247328</v>
      </c>
      <c r="R41">
        <v>1</v>
      </c>
      <c r="S41">
        <v>1</v>
      </c>
      <c r="T41">
        <v>1.9779397310007302E-2</v>
      </c>
      <c r="U41">
        <v>-4.7418033250449599E-3</v>
      </c>
      <c r="V41">
        <v>9</v>
      </c>
      <c r="W41">
        <v>4</v>
      </c>
      <c r="X41">
        <v>5</v>
      </c>
      <c r="Y41">
        <v>0.44444444444444398</v>
      </c>
      <c r="Z41">
        <v>6.1453676380939903</v>
      </c>
      <c r="AA41">
        <v>2.4299045763281999</v>
      </c>
      <c r="AB41">
        <v>3.71546306176579</v>
      </c>
      <c r="AC41">
        <v>0.39540426536334</v>
      </c>
      <c r="AD41">
        <v>1.5700954236717899</v>
      </c>
      <c r="AE41">
        <v>1.2845369382342</v>
      </c>
      <c r="AF41">
        <v>0</v>
      </c>
      <c r="AG41">
        <v>0</v>
      </c>
      <c r="AH41">
        <v>3.0573968348726301E-2</v>
      </c>
      <c r="AI41">
        <v>1.42021510542587E-2</v>
      </c>
      <c r="AJ41">
        <v>32</v>
      </c>
      <c r="AK41">
        <v>6</v>
      </c>
      <c r="AL41">
        <f t="shared" si="0"/>
        <v>0.75</v>
      </c>
      <c r="AM41">
        <f t="shared" si="1"/>
        <v>0.1875</v>
      </c>
    </row>
    <row r="42" spans="1:39" x14ac:dyDescent="0.2">
      <c r="A42" t="s">
        <v>103</v>
      </c>
      <c r="B42" t="s">
        <v>71</v>
      </c>
      <c r="C42" t="s">
        <v>37</v>
      </c>
      <c r="D42" t="s">
        <v>71</v>
      </c>
      <c r="E42">
        <v>-0.71834410401716697</v>
      </c>
      <c r="F42">
        <v>1.1723922225755801</v>
      </c>
      <c r="G42">
        <v>1.8907363265927399</v>
      </c>
      <c r="H42">
        <v>17</v>
      </c>
      <c r="I42">
        <v>11</v>
      </c>
      <c r="J42">
        <v>6</v>
      </c>
      <c r="K42">
        <v>0.64705882352941102</v>
      </c>
      <c r="L42">
        <v>18.622677347171098</v>
      </c>
      <c r="M42">
        <v>11.2251425622977</v>
      </c>
      <c r="N42">
        <v>7.3975347848733604</v>
      </c>
      <c r="O42">
        <v>0.60276738693552701</v>
      </c>
      <c r="P42">
        <v>-0.22514256229777899</v>
      </c>
      <c r="Q42">
        <v>-1.3975347848733599</v>
      </c>
      <c r="R42">
        <v>5</v>
      </c>
      <c r="S42">
        <v>0</v>
      </c>
      <c r="T42">
        <v>2.2655325239867501E-2</v>
      </c>
      <c r="U42">
        <v>-1.9740600330549101E-3</v>
      </c>
      <c r="V42">
        <v>16</v>
      </c>
      <c r="W42">
        <v>8</v>
      </c>
      <c r="X42">
        <v>8</v>
      </c>
      <c r="Y42">
        <v>0.5</v>
      </c>
      <c r="Z42">
        <v>14.7767732912975</v>
      </c>
      <c r="AA42">
        <v>6.4430184823523904</v>
      </c>
      <c r="AB42">
        <v>8.3337548089451392</v>
      </c>
      <c r="AC42">
        <v>0.436023369604436</v>
      </c>
      <c r="AD42">
        <v>1.5569815176476001</v>
      </c>
      <c r="AE42">
        <v>-0.33375480894514498</v>
      </c>
      <c r="AF42">
        <v>1</v>
      </c>
      <c r="AG42">
        <v>0</v>
      </c>
      <c r="AH42">
        <v>4.5051138083224203E-2</v>
      </c>
      <c r="AI42">
        <v>3.7293497216538299E-3</v>
      </c>
      <c r="AJ42">
        <v>49</v>
      </c>
      <c r="AK42">
        <v>13</v>
      </c>
      <c r="AL42">
        <f t="shared" si="0"/>
        <v>0.76470588235294112</v>
      </c>
      <c r="AM42">
        <f t="shared" si="1"/>
        <v>0.26530612244897961</v>
      </c>
    </row>
    <row r="43" spans="1:39" x14ac:dyDescent="0.2">
      <c r="A43" t="s">
        <v>104</v>
      </c>
      <c r="B43" t="s">
        <v>88</v>
      </c>
      <c r="C43" t="s">
        <v>37</v>
      </c>
      <c r="D43" t="s">
        <v>88</v>
      </c>
      <c r="E43">
        <v>3.2810102739708502</v>
      </c>
      <c r="F43">
        <v>1.15945405769506</v>
      </c>
      <c r="G43">
        <v>-2.1215562162757902</v>
      </c>
      <c r="H43">
        <v>3</v>
      </c>
      <c r="I43">
        <v>2</v>
      </c>
      <c r="J43">
        <v>1</v>
      </c>
      <c r="K43">
        <v>0.66666666666666596</v>
      </c>
      <c r="L43">
        <v>3.4311399352110499</v>
      </c>
      <c r="M43">
        <v>1.63584293875799</v>
      </c>
      <c r="N43">
        <v>1.7952969964530601</v>
      </c>
      <c r="O43">
        <v>0.476763690682109</v>
      </c>
      <c r="P43">
        <v>0.36415706124200198</v>
      </c>
      <c r="Q43">
        <v>-0.79529699645306295</v>
      </c>
      <c r="R43">
        <v>2</v>
      </c>
      <c r="S43">
        <v>0</v>
      </c>
      <c r="T43">
        <v>1.26610329712585E-2</v>
      </c>
      <c r="U43">
        <v>-1.5909222701515099E-3</v>
      </c>
      <c r="V43">
        <v>1</v>
      </c>
      <c r="W43">
        <v>0</v>
      </c>
      <c r="X43">
        <v>1</v>
      </c>
      <c r="Z43">
        <v>6.4577238992941197</v>
      </c>
      <c r="AA43">
        <v>3.7896400577849501</v>
      </c>
      <c r="AB43">
        <v>2.6680838415091599</v>
      </c>
      <c r="AC43">
        <v>0.58683835309205301</v>
      </c>
      <c r="AD43">
        <v>-3.7896400577849501</v>
      </c>
      <c r="AE43">
        <v>-1.6680838415091599</v>
      </c>
      <c r="AF43">
        <v>0</v>
      </c>
      <c r="AG43">
        <v>0</v>
      </c>
      <c r="AH43">
        <v>6.0921923578246398E-2</v>
      </c>
      <c r="AI43">
        <v>-5.1487961314095498E-2</v>
      </c>
      <c r="AJ43">
        <v>9</v>
      </c>
      <c r="AK43">
        <v>2</v>
      </c>
      <c r="AL43">
        <f t="shared" si="0"/>
        <v>0.66666666666666663</v>
      </c>
      <c r="AM43">
        <f t="shared" si="1"/>
        <v>0.22222222222222221</v>
      </c>
    </row>
    <row r="44" spans="1:39" x14ac:dyDescent="0.2">
      <c r="A44" t="s">
        <v>105</v>
      </c>
      <c r="B44" t="s">
        <v>86</v>
      </c>
      <c r="C44" t="s">
        <v>37</v>
      </c>
      <c r="D44" t="s">
        <v>86</v>
      </c>
      <c r="E44">
        <v>0.92950599814919799</v>
      </c>
      <c r="F44">
        <v>1.14572390467951</v>
      </c>
      <c r="G44">
        <v>0.216217906530315</v>
      </c>
      <c r="H44">
        <v>2</v>
      </c>
      <c r="I44">
        <v>2</v>
      </c>
      <c r="J44">
        <v>0</v>
      </c>
      <c r="K44">
        <v>1</v>
      </c>
      <c r="L44">
        <v>1.5410546370507201</v>
      </c>
      <c r="M44">
        <v>1.1976653661856</v>
      </c>
      <c r="N44">
        <v>0.343389270865117</v>
      </c>
      <c r="O44">
        <v>0.77717255273810504</v>
      </c>
      <c r="P44">
        <v>0.80233463381439496</v>
      </c>
      <c r="Q44">
        <v>-0.343389270865117</v>
      </c>
      <c r="R44">
        <v>1</v>
      </c>
      <c r="S44">
        <v>0</v>
      </c>
      <c r="T44">
        <v>2.8538048834272599E-2</v>
      </c>
      <c r="U44">
        <v>8.4989882027643997E-3</v>
      </c>
      <c r="V44">
        <v>0</v>
      </c>
      <c r="W44">
        <v>0</v>
      </c>
      <c r="X44">
        <v>0</v>
      </c>
      <c r="Z44">
        <v>0.45913362773760402</v>
      </c>
      <c r="AA44">
        <v>0.121457860603644</v>
      </c>
      <c r="AB44">
        <v>0.33767576713396003</v>
      </c>
      <c r="AC44">
        <v>0.26453706125193199</v>
      </c>
      <c r="AD44">
        <v>-0.121457860603644</v>
      </c>
      <c r="AE44">
        <v>-0.33767576713396003</v>
      </c>
      <c r="AF44">
        <v>0</v>
      </c>
      <c r="AG44">
        <v>0</v>
      </c>
      <c r="AH44">
        <v>2.5507423763200199E-2</v>
      </c>
      <c r="AI44">
        <v>-2.5507423763200199E-2</v>
      </c>
      <c r="AJ44">
        <v>7</v>
      </c>
      <c r="AK44">
        <v>2</v>
      </c>
      <c r="AL44">
        <f t="shared" si="0"/>
        <v>1</v>
      </c>
      <c r="AM44">
        <f t="shared" si="1"/>
        <v>0.2857142857142857</v>
      </c>
    </row>
    <row r="45" spans="1:39" x14ac:dyDescent="0.2">
      <c r="A45" t="s">
        <v>106</v>
      </c>
      <c r="B45" t="s">
        <v>94</v>
      </c>
      <c r="C45" t="s">
        <v>37</v>
      </c>
      <c r="D45" t="s">
        <v>94</v>
      </c>
      <c r="E45">
        <v>-3.6920598623074001</v>
      </c>
      <c r="F45">
        <v>1.00911510416851</v>
      </c>
      <c r="G45">
        <v>4.7011749664759197</v>
      </c>
      <c r="H45">
        <v>11</v>
      </c>
      <c r="I45">
        <v>4</v>
      </c>
      <c r="J45">
        <v>7</v>
      </c>
      <c r="K45">
        <v>0.36363636363636298</v>
      </c>
      <c r="L45">
        <v>18.3225166509419</v>
      </c>
      <c r="M45">
        <v>7.1567007733867198</v>
      </c>
      <c r="N45">
        <v>11.1658158775552</v>
      </c>
      <c r="O45">
        <v>0.39059594867492098</v>
      </c>
      <c r="P45">
        <v>-3.1567007733867198</v>
      </c>
      <c r="Q45">
        <v>-4.1658158775552296</v>
      </c>
      <c r="R45">
        <v>2</v>
      </c>
      <c r="S45">
        <v>0</v>
      </c>
      <c r="T45">
        <v>1.8507592576709E-2</v>
      </c>
      <c r="U45">
        <v>-7.3964814655979299E-3</v>
      </c>
      <c r="V45">
        <v>17</v>
      </c>
      <c r="W45">
        <v>9</v>
      </c>
      <c r="X45">
        <v>8</v>
      </c>
      <c r="Y45">
        <v>0.52941176470588203</v>
      </c>
      <c r="Z45">
        <v>20.512642007814101</v>
      </c>
      <c r="AA45">
        <v>8.4057335206691093</v>
      </c>
      <c r="AB45">
        <v>12.106908487145001</v>
      </c>
      <c r="AC45">
        <v>0.40978307511372702</v>
      </c>
      <c r="AD45">
        <v>0.59426647933088805</v>
      </c>
      <c r="AE45">
        <v>-4.1069084871450299</v>
      </c>
      <c r="AF45">
        <v>1</v>
      </c>
      <c r="AG45">
        <v>1</v>
      </c>
      <c r="AH45">
        <v>4.3830431640628498E-2</v>
      </c>
      <c r="AI45">
        <v>-7.5056453158421901E-3</v>
      </c>
      <c r="AJ45">
        <v>53</v>
      </c>
      <c r="AK45">
        <v>8</v>
      </c>
      <c r="AL45">
        <f t="shared" si="0"/>
        <v>0.72727272727272729</v>
      </c>
      <c r="AM45">
        <f t="shared" si="1"/>
        <v>0.15094339622641509</v>
      </c>
    </row>
    <row r="46" spans="1:39" x14ac:dyDescent="0.2">
      <c r="A46" t="s">
        <v>107</v>
      </c>
      <c r="B46" t="s">
        <v>78</v>
      </c>
      <c r="C46" t="s">
        <v>37</v>
      </c>
      <c r="D46" t="s">
        <v>78</v>
      </c>
      <c r="E46">
        <v>-2.4375136305766998</v>
      </c>
      <c r="F46">
        <v>0.92066237711119203</v>
      </c>
      <c r="G46">
        <v>3.3581760076878902</v>
      </c>
      <c r="H46">
        <v>8</v>
      </c>
      <c r="I46">
        <v>6</v>
      </c>
      <c r="J46">
        <v>2</v>
      </c>
      <c r="K46">
        <v>0.75</v>
      </c>
      <c r="L46">
        <v>11.638570131736801</v>
      </c>
      <c r="M46">
        <v>7.3589538773128096</v>
      </c>
      <c r="N46">
        <v>4.279616254424</v>
      </c>
      <c r="O46">
        <v>0.63229020352301901</v>
      </c>
      <c r="P46">
        <v>-1.35895387731281</v>
      </c>
      <c r="Q46">
        <v>-2.279616254424</v>
      </c>
      <c r="R46">
        <v>0</v>
      </c>
      <c r="S46">
        <v>0</v>
      </c>
      <c r="T46">
        <v>2.1592894493018201E-2</v>
      </c>
      <c r="U46">
        <v>-6.7505939364319598E-3</v>
      </c>
      <c r="V46">
        <v>9</v>
      </c>
      <c r="W46">
        <v>5</v>
      </c>
      <c r="X46">
        <v>4</v>
      </c>
      <c r="Y46">
        <v>0.55555555555555503</v>
      </c>
      <c r="Z46">
        <v>10.0585706190023</v>
      </c>
      <c r="AA46">
        <v>3.8501973056572201</v>
      </c>
      <c r="AB46">
        <v>6.2083733133451204</v>
      </c>
      <c r="AC46">
        <v>0.38277777742928498</v>
      </c>
      <c r="AD46">
        <v>1.1498026943427699</v>
      </c>
      <c r="AE46">
        <v>-2.20837331334512</v>
      </c>
      <c r="AF46">
        <v>2</v>
      </c>
      <c r="AG46">
        <v>1</v>
      </c>
      <c r="AH46">
        <v>4.4904333120546203E-2</v>
      </c>
      <c r="AI46">
        <v>-4.7257616919747702E-3</v>
      </c>
      <c r="AJ46">
        <v>31</v>
      </c>
      <c r="AK46">
        <v>6</v>
      </c>
      <c r="AL46">
        <f t="shared" si="0"/>
        <v>0.75</v>
      </c>
      <c r="AM46">
        <f t="shared" si="1"/>
        <v>0.19354838709677419</v>
      </c>
    </row>
    <row r="47" spans="1:39" x14ac:dyDescent="0.2">
      <c r="A47" t="s">
        <v>108</v>
      </c>
      <c r="B47" t="s">
        <v>69</v>
      </c>
      <c r="C47" t="s">
        <v>37</v>
      </c>
      <c r="D47" t="s">
        <v>69</v>
      </c>
      <c r="E47">
        <v>2.0186367082382799</v>
      </c>
      <c r="F47">
        <v>0.41961332680293401</v>
      </c>
      <c r="G47">
        <v>-1.5990233814353501</v>
      </c>
      <c r="H47">
        <v>1</v>
      </c>
      <c r="I47">
        <v>1</v>
      </c>
      <c r="J47">
        <v>0</v>
      </c>
      <c r="K47">
        <v>1</v>
      </c>
      <c r="L47">
        <v>1.82328531149643</v>
      </c>
      <c r="M47">
        <v>1.2018359923467501</v>
      </c>
      <c r="N47">
        <v>0.62144931914968504</v>
      </c>
      <c r="O47">
        <v>0.65915958669154195</v>
      </c>
      <c r="P47">
        <v>-0.20183599234675101</v>
      </c>
      <c r="Q47">
        <v>-0.62144931914968504</v>
      </c>
      <c r="R47">
        <v>1</v>
      </c>
      <c r="S47">
        <v>0</v>
      </c>
      <c r="T47">
        <v>1.8417023348448799E-2</v>
      </c>
      <c r="U47">
        <v>-8.3160132474387506E-3</v>
      </c>
      <c r="V47">
        <v>2</v>
      </c>
      <c r="W47">
        <v>0</v>
      </c>
      <c r="X47">
        <v>2</v>
      </c>
      <c r="Z47">
        <v>2.4662633346976399</v>
      </c>
      <c r="AA47">
        <v>1.03264335806649</v>
      </c>
      <c r="AB47">
        <v>1.4336199766311399</v>
      </c>
      <c r="AC47">
        <v>0.41870766334572901</v>
      </c>
      <c r="AD47">
        <v>-1.03264335806649</v>
      </c>
      <c r="AE47">
        <v>0.56638002336885096</v>
      </c>
      <c r="AF47">
        <v>0</v>
      </c>
      <c r="AG47">
        <v>0</v>
      </c>
      <c r="AH47">
        <v>3.85353646046507E-2</v>
      </c>
      <c r="AI47">
        <v>-7.2853646046507599E-3</v>
      </c>
      <c r="AJ47">
        <v>5</v>
      </c>
      <c r="AK47">
        <v>1</v>
      </c>
      <c r="AL47">
        <f t="shared" si="0"/>
        <v>1</v>
      </c>
      <c r="AM47">
        <f t="shared" si="1"/>
        <v>0.2</v>
      </c>
    </row>
    <row r="48" spans="1:39" x14ac:dyDescent="0.2">
      <c r="A48" t="s">
        <v>109</v>
      </c>
      <c r="B48" t="s">
        <v>74</v>
      </c>
      <c r="C48" t="s">
        <v>37</v>
      </c>
      <c r="D48" t="s">
        <v>74</v>
      </c>
      <c r="E48">
        <v>-4.4601194895385499</v>
      </c>
      <c r="F48">
        <v>0.41212457893462501</v>
      </c>
      <c r="G48">
        <v>4.8722440684731696</v>
      </c>
      <c r="H48">
        <v>5</v>
      </c>
      <c r="I48">
        <v>2</v>
      </c>
      <c r="J48">
        <v>3</v>
      </c>
      <c r="K48">
        <v>0.4</v>
      </c>
      <c r="L48">
        <v>4.5763736822163699</v>
      </c>
      <c r="M48">
        <v>1.58212455164087</v>
      </c>
      <c r="N48">
        <v>2.9942491305754899</v>
      </c>
      <c r="O48">
        <v>0.34571577006242998</v>
      </c>
      <c r="P48">
        <v>0.41787544835912699</v>
      </c>
      <c r="Q48">
        <v>5.7508694245020902E-3</v>
      </c>
      <c r="R48">
        <v>1</v>
      </c>
      <c r="S48">
        <v>1</v>
      </c>
      <c r="T48">
        <v>1.7012541569577499E-2</v>
      </c>
      <c r="U48">
        <v>1.57481902521794E-3</v>
      </c>
      <c r="V48">
        <v>4</v>
      </c>
      <c r="W48">
        <v>4</v>
      </c>
      <c r="X48">
        <v>0</v>
      </c>
      <c r="Y48">
        <v>1</v>
      </c>
      <c r="Z48">
        <v>6.8411724769415798</v>
      </c>
      <c r="AA48">
        <v>2.9844642042341998</v>
      </c>
      <c r="AB48">
        <v>3.8567082727073698</v>
      </c>
      <c r="AC48">
        <v>0.43625039630172202</v>
      </c>
      <c r="AD48">
        <v>1.01553579576579</v>
      </c>
      <c r="AE48">
        <v>-3.8567082727073698</v>
      </c>
      <c r="AF48">
        <v>1</v>
      </c>
      <c r="AG48">
        <v>1</v>
      </c>
      <c r="AH48">
        <v>5.0302738801040997E-2</v>
      </c>
      <c r="AI48">
        <v>-2.0890974095158599E-2</v>
      </c>
      <c r="AJ48">
        <v>11</v>
      </c>
      <c r="AK48">
        <v>3</v>
      </c>
      <c r="AL48">
        <f t="shared" si="0"/>
        <v>0.6</v>
      </c>
      <c r="AM48">
        <f t="shared" si="1"/>
        <v>0.27272727272727271</v>
      </c>
    </row>
    <row r="49" spans="1:39" x14ac:dyDescent="0.2">
      <c r="A49" t="s">
        <v>110</v>
      </c>
      <c r="B49" t="s">
        <v>111</v>
      </c>
      <c r="C49" t="s">
        <v>37</v>
      </c>
      <c r="D49" t="s">
        <v>111</v>
      </c>
      <c r="E49">
        <v>0.28861759963211098</v>
      </c>
      <c r="F49">
        <v>0.31515181554206201</v>
      </c>
      <c r="G49">
        <v>2.6534215909951302E-2</v>
      </c>
      <c r="H49">
        <v>19</v>
      </c>
      <c r="I49">
        <v>11</v>
      </c>
      <c r="J49">
        <v>8</v>
      </c>
      <c r="K49">
        <v>0.57894736842105199</v>
      </c>
      <c r="L49">
        <v>23.869763441152401</v>
      </c>
      <c r="M49">
        <v>13.277305812805199</v>
      </c>
      <c r="N49">
        <v>10.5924576283472</v>
      </c>
      <c r="O49">
        <v>0.556239522253269</v>
      </c>
      <c r="P49">
        <v>-2.2773058128052002</v>
      </c>
      <c r="Q49">
        <v>-2.5924576283472698</v>
      </c>
      <c r="R49">
        <v>5</v>
      </c>
      <c r="S49">
        <v>2</v>
      </c>
      <c r="T49">
        <v>2.1798870722513599E-2</v>
      </c>
      <c r="U49">
        <v>-4.4472725489977001E-3</v>
      </c>
      <c r="V49">
        <v>20</v>
      </c>
      <c r="W49">
        <v>6</v>
      </c>
      <c r="X49">
        <v>14</v>
      </c>
      <c r="Y49">
        <v>0.3</v>
      </c>
      <c r="Z49">
        <v>23.9528771025612</v>
      </c>
      <c r="AA49">
        <v>7.96317144332565</v>
      </c>
      <c r="AB49">
        <v>15.9897056592356</v>
      </c>
      <c r="AC49">
        <v>0.33245156351068</v>
      </c>
      <c r="AD49">
        <v>-1.96317144332565</v>
      </c>
      <c r="AE49">
        <v>-1.9897056592356099</v>
      </c>
      <c r="AF49">
        <v>1</v>
      </c>
      <c r="AG49">
        <v>0</v>
      </c>
      <c r="AH49">
        <v>4.7714894626616003E-2</v>
      </c>
      <c r="AI49">
        <v>-7.8742571764168594E-3</v>
      </c>
      <c r="AJ49">
        <v>73</v>
      </c>
      <c r="AK49">
        <v>12</v>
      </c>
      <c r="AL49">
        <f t="shared" si="0"/>
        <v>0.63157894736842102</v>
      </c>
      <c r="AM49">
        <f t="shared" si="1"/>
        <v>0.16438356164383561</v>
      </c>
    </row>
    <row r="50" spans="1:39" x14ac:dyDescent="0.2">
      <c r="A50" t="s">
        <v>112</v>
      </c>
      <c r="B50" t="s">
        <v>113</v>
      </c>
      <c r="C50" t="s">
        <v>37</v>
      </c>
      <c r="D50" t="s">
        <v>113</v>
      </c>
      <c r="E50">
        <v>-3.8540895733448699</v>
      </c>
      <c r="F50">
        <v>0.232043559447942</v>
      </c>
      <c r="G50">
        <v>4.0861331327928099</v>
      </c>
      <c r="H50">
        <v>19</v>
      </c>
      <c r="I50">
        <v>8</v>
      </c>
      <c r="J50">
        <v>11</v>
      </c>
      <c r="K50">
        <v>0.42105263157894701</v>
      </c>
      <c r="L50">
        <v>18.622283217261099</v>
      </c>
      <c r="M50">
        <v>7.6951198289066101</v>
      </c>
      <c r="N50">
        <v>10.927163388354501</v>
      </c>
      <c r="O50">
        <v>0.41322107171981598</v>
      </c>
      <c r="P50">
        <v>0.304880171093389</v>
      </c>
      <c r="Q50">
        <v>7.2836611645447094E-2</v>
      </c>
      <c r="R50">
        <v>1</v>
      </c>
      <c r="S50">
        <v>0</v>
      </c>
      <c r="T50">
        <v>2.00887629096668E-2</v>
      </c>
      <c r="U50">
        <v>4.0746147005267801E-4</v>
      </c>
      <c r="V50">
        <v>21</v>
      </c>
      <c r="W50">
        <v>12</v>
      </c>
      <c r="X50">
        <v>9</v>
      </c>
      <c r="Y50">
        <v>0.57142857142857095</v>
      </c>
      <c r="Z50">
        <v>21.065929691421299</v>
      </c>
      <c r="AA50">
        <v>9.9898982793142697</v>
      </c>
      <c r="AB50">
        <v>11.076031412107</v>
      </c>
      <c r="AC50">
        <v>0.47422062190696601</v>
      </c>
      <c r="AD50">
        <v>2.0101017206857201</v>
      </c>
      <c r="AE50">
        <v>-2.0760314121070902</v>
      </c>
      <c r="AF50">
        <v>4</v>
      </c>
      <c r="AG50">
        <v>1</v>
      </c>
      <c r="AH50">
        <v>4.6813177092047402E-2</v>
      </c>
      <c r="AI50">
        <v>-1.46510425380807E-4</v>
      </c>
      <c r="AJ50">
        <v>58</v>
      </c>
      <c r="AK50">
        <v>8</v>
      </c>
      <c r="AL50">
        <f t="shared" si="0"/>
        <v>0.42105263157894735</v>
      </c>
      <c r="AM50">
        <f t="shared" si="1"/>
        <v>0.13793103448275862</v>
      </c>
    </row>
    <row r="51" spans="1:39" x14ac:dyDescent="0.2">
      <c r="A51" t="s">
        <v>114</v>
      </c>
      <c r="B51" t="s">
        <v>43</v>
      </c>
      <c r="C51" t="s">
        <v>37</v>
      </c>
      <c r="D51" t="s">
        <v>43</v>
      </c>
      <c r="E51">
        <v>5.2431614983163399</v>
      </c>
      <c r="F51">
        <v>0.14243801713571</v>
      </c>
      <c r="G51">
        <v>-5.1007234811806299</v>
      </c>
      <c r="H51">
        <v>31</v>
      </c>
      <c r="I51">
        <v>16</v>
      </c>
      <c r="J51">
        <v>15</v>
      </c>
      <c r="K51">
        <v>0.51612903225806395</v>
      </c>
      <c r="L51">
        <v>15.1112814616157</v>
      </c>
      <c r="M51">
        <v>7.9844217222399996</v>
      </c>
      <c r="N51">
        <v>7.1268597393757203</v>
      </c>
      <c r="O51">
        <v>0.52837489279259897</v>
      </c>
      <c r="P51">
        <v>8.01557827775998</v>
      </c>
      <c r="Q51">
        <v>7.87314026062427</v>
      </c>
      <c r="R51">
        <v>2</v>
      </c>
      <c r="S51">
        <v>1</v>
      </c>
      <c r="T51">
        <v>2.1253560424213402E-2</v>
      </c>
      <c r="U51">
        <v>2.2347002163690899E-2</v>
      </c>
      <c r="V51">
        <v>17</v>
      </c>
      <c r="W51">
        <v>5</v>
      </c>
      <c r="X51">
        <v>12</v>
      </c>
      <c r="Y51">
        <v>0.29411764705882298</v>
      </c>
      <c r="Z51">
        <v>14.267440514473201</v>
      </c>
      <c r="AA51">
        <v>6.1840819978269401</v>
      </c>
      <c r="AB51">
        <v>8.0833585166463102</v>
      </c>
      <c r="AC51">
        <v>0.43344018091777903</v>
      </c>
      <c r="AD51">
        <v>-1.1840819978269399</v>
      </c>
      <c r="AE51">
        <v>3.91664148335368</v>
      </c>
      <c r="AF51">
        <v>0</v>
      </c>
      <c r="AG51">
        <v>1</v>
      </c>
      <c r="AH51">
        <v>4.2589374670069402E-2</v>
      </c>
      <c r="AI51">
        <v>8.1568939866469899E-3</v>
      </c>
      <c r="AJ51">
        <v>52</v>
      </c>
      <c r="AK51">
        <v>20</v>
      </c>
      <c r="AL51">
        <f t="shared" si="0"/>
        <v>0.64516129032258063</v>
      </c>
      <c r="AM51">
        <f t="shared" si="1"/>
        <v>0.38461538461538464</v>
      </c>
    </row>
    <row r="52" spans="1:39" x14ac:dyDescent="0.2">
      <c r="A52" t="s">
        <v>115</v>
      </c>
      <c r="B52" t="s">
        <v>63</v>
      </c>
      <c r="C52" t="s">
        <v>37</v>
      </c>
      <c r="D52" t="s">
        <v>63</v>
      </c>
      <c r="E52">
        <v>-2.53197079824155</v>
      </c>
      <c r="F52">
        <v>1.9546576531835599E-2</v>
      </c>
      <c r="G52">
        <v>2.5515173747733901</v>
      </c>
      <c r="H52">
        <v>18</v>
      </c>
      <c r="I52">
        <v>9</v>
      </c>
      <c r="J52">
        <v>9</v>
      </c>
      <c r="K52">
        <v>0.5</v>
      </c>
      <c r="L52">
        <v>10.9632894229056</v>
      </c>
      <c r="M52">
        <v>5.4718714231868999</v>
      </c>
      <c r="N52">
        <v>5.49141799971874</v>
      </c>
      <c r="O52">
        <v>0.499108544170557</v>
      </c>
      <c r="P52">
        <v>3.5281285768130899</v>
      </c>
      <c r="Q52">
        <v>3.5085820002812498</v>
      </c>
      <c r="R52">
        <v>3</v>
      </c>
      <c r="S52">
        <v>1</v>
      </c>
      <c r="T52">
        <v>2.1752558378781001E-2</v>
      </c>
      <c r="U52">
        <v>1.39617273355046E-2</v>
      </c>
      <c r="V52">
        <v>10</v>
      </c>
      <c r="W52">
        <v>6</v>
      </c>
      <c r="X52">
        <v>4</v>
      </c>
      <c r="Y52">
        <v>0.6</v>
      </c>
      <c r="Z52">
        <v>13.6377141492175</v>
      </c>
      <c r="AA52">
        <v>6.5430983872220896</v>
      </c>
      <c r="AB52">
        <v>7.0946157619954899</v>
      </c>
      <c r="AC52">
        <v>0.479779698828596</v>
      </c>
      <c r="AD52">
        <v>-0.54309838722209303</v>
      </c>
      <c r="AE52">
        <v>-3.0946157619954802</v>
      </c>
      <c r="AF52">
        <v>3</v>
      </c>
      <c r="AG52">
        <v>1</v>
      </c>
      <c r="AH52">
        <v>5.7301319954695597E-2</v>
      </c>
      <c r="AI52">
        <v>-1.5284513232006599E-2</v>
      </c>
      <c r="AJ52">
        <v>38</v>
      </c>
      <c r="AK52">
        <v>10</v>
      </c>
      <c r="AL52">
        <f t="shared" si="0"/>
        <v>0.55555555555555558</v>
      </c>
      <c r="AM52">
        <f t="shared" si="1"/>
        <v>0.26315789473684209</v>
      </c>
    </row>
    <row r="53" spans="1:39" x14ac:dyDescent="0.2">
      <c r="A53" t="s">
        <v>116</v>
      </c>
      <c r="B53" t="s">
        <v>82</v>
      </c>
      <c r="C53" t="s">
        <v>37</v>
      </c>
      <c r="D53" t="s">
        <v>82</v>
      </c>
      <c r="E53">
        <v>1.53691229546453</v>
      </c>
      <c r="F53">
        <v>-2.85838227936401E-2</v>
      </c>
      <c r="G53">
        <v>-1.5654961182581699</v>
      </c>
      <c r="H53">
        <v>20</v>
      </c>
      <c r="I53">
        <v>12</v>
      </c>
      <c r="J53">
        <v>8</v>
      </c>
      <c r="K53">
        <v>0.6</v>
      </c>
      <c r="L53">
        <v>26.142976741118499</v>
      </c>
      <c r="M53">
        <v>15.085780281956101</v>
      </c>
      <c r="N53">
        <v>11.0571964591624</v>
      </c>
      <c r="O53">
        <v>0.57704906489201202</v>
      </c>
      <c r="P53">
        <v>-3.0857802819561102</v>
      </c>
      <c r="Q53">
        <v>-3.0571964591624701</v>
      </c>
      <c r="R53">
        <v>4</v>
      </c>
      <c r="S53">
        <v>2</v>
      </c>
      <c r="T53">
        <v>2.11171056067193E-2</v>
      </c>
      <c r="U53">
        <v>-4.9620167537306799E-3</v>
      </c>
      <c r="V53">
        <v>14</v>
      </c>
      <c r="W53">
        <v>4</v>
      </c>
      <c r="X53">
        <v>10</v>
      </c>
      <c r="Y53">
        <v>0.28571428571428498</v>
      </c>
      <c r="Z53">
        <v>23.1161140125716</v>
      </c>
      <c r="AA53">
        <v>9.3408050654149193</v>
      </c>
      <c r="AB53">
        <v>13.775308947156701</v>
      </c>
      <c r="AC53">
        <v>0.40408197763408299</v>
      </c>
      <c r="AD53">
        <v>-5.3408050654149202</v>
      </c>
      <c r="AE53">
        <v>-3.7753089471567498</v>
      </c>
      <c r="AF53">
        <v>3</v>
      </c>
      <c r="AG53">
        <v>0</v>
      </c>
      <c r="AH53">
        <v>4.2105854303409199E-2</v>
      </c>
      <c r="AI53">
        <v>-1.66049435565968E-2</v>
      </c>
      <c r="AJ53">
        <v>76</v>
      </c>
      <c r="AK53">
        <v>15</v>
      </c>
      <c r="AL53">
        <f t="shared" si="0"/>
        <v>0.75</v>
      </c>
      <c r="AM53">
        <f t="shared" si="1"/>
        <v>0.19736842105263158</v>
      </c>
    </row>
    <row r="54" spans="1:39" x14ac:dyDescent="0.2">
      <c r="A54" t="s">
        <v>117</v>
      </c>
      <c r="B54" t="s">
        <v>96</v>
      </c>
      <c r="C54" t="s">
        <v>37</v>
      </c>
      <c r="D54" t="s">
        <v>96</v>
      </c>
      <c r="E54">
        <v>-4.9687346579815497</v>
      </c>
      <c r="F54">
        <v>-0.206502009411201</v>
      </c>
      <c r="G54">
        <v>4.7622326485703503</v>
      </c>
      <c r="H54">
        <v>9</v>
      </c>
      <c r="I54">
        <v>4</v>
      </c>
      <c r="J54">
        <v>5</v>
      </c>
      <c r="K54">
        <v>0.44444444444444398</v>
      </c>
      <c r="L54">
        <v>15.764480134203501</v>
      </c>
      <c r="M54">
        <v>7.4854910718073597</v>
      </c>
      <c r="N54">
        <v>8.2789890623961604</v>
      </c>
      <c r="O54">
        <v>0.47483272572791002</v>
      </c>
      <c r="P54">
        <v>-3.4854910718073602</v>
      </c>
      <c r="Q54">
        <v>-3.2789890623961599</v>
      </c>
      <c r="R54">
        <v>1</v>
      </c>
      <c r="S54">
        <v>0</v>
      </c>
      <c r="T54">
        <v>2.6764821959598499E-2</v>
      </c>
      <c r="U54">
        <v>-1.14846861361689E-2</v>
      </c>
      <c r="V54">
        <v>13</v>
      </c>
      <c r="W54">
        <v>8</v>
      </c>
      <c r="X54">
        <v>5</v>
      </c>
      <c r="Y54">
        <v>0.61538461538461497</v>
      </c>
      <c r="Z54">
        <v>11.4577148234892</v>
      </c>
      <c r="AA54">
        <v>4.8477410874594504</v>
      </c>
      <c r="AB54">
        <v>6.6099737360297999</v>
      </c>
      <c r="AC54">
        <v>0.42309842426180599</v>
      </c>
      <c r="AD54">
        <v>3.1522589125405398</v>
      </c>
      <c r="AE54">
        <v>-1.6099737360298001</v>
      </c>
      <c r="AF54">
        <v>1</v>
      </c>
      <c r="AG54">
        <v>1</v>
      </c>
      <c r="AH54">
        <v>4.56482662290408E-2</v>
      </c>
      <c r="AI54">
        <v>6.1445624562180799E-3</v>
      </c>
      <c r="AJ54">
        <v>36</v>
      </c>
      <c r="AK54">
        <v>4</v>
      </c>
      <c r="AL54">
        <f t="shared" si="0"/>
        <v>0.44444444444444442</v>
      </c>
      <c r="AM54">
        <f t="shared" si="1"/>
        <v>0.1111111111111111</v>
      </c>
    </row>
    <row r="55" spans="1:39" x14ac:dyDescent="0.2">
      <c r="A55" t="s">
        <v>118</v>
      </c>
      <c r="B55" t="s">
        <v>49</v>
      </c>
      <c r="C55" t="s">
        <v>37</v>
      </c>
      <c r="D55" t="s">
        <v>49</v>
      </c>
      <c r="E55">
        <v>6.0047054116715397E-2</v>
      </c>
      <c r="F55">
        <v>-0.26796091426332302</v>
      </c>
      <c r="G55">
        <v>-0.32800796838003898</v>
      </c>
      <c r="H55">
        <v>1</v>
      </c>
      <c r="I55">
        <v>0</v>
      </c>
      <c r="J55">
        <v>1</v>
      </c>
      <c r="L55">
        <v>4.5093997505169598</v>
      </c>
      <c r="M55">
        <v>1.88868033239014</v>
      </c>
      <c r="N55">
        <v>2.6207194181268099</v>
      </c>
      <c r="O55">
        <v>0.41883187051084098</v>
      </c>
      <c r="P55">
        <v>-1.88868033239014</v>
      </c>
      <c r="Q55">
        <v>-1.6207194181268101</v>
      </c>
      <c r="R55">
        <v>0</v>
      </c>
      <c r="S55">
        <v>0</v>
      </c>
      <c r="T55">
        <v>1.6104999108989101E-2</v>
      </c>
      <c r="U55">
        <v>-1.25335705375605E-2</v>
      </c>
      <c r="V55">
        <v>5</v>
      </c>
      <c r="W55">
        <v>2</v>
      </c>
      <c r="X55">
        <v>3</v>
      </c>
      <c r="Y55">
        <v>0.4</v>
      </c>
      <c r="Z55">
        <v>4.4101561957285096</v>
      </c>
      <c r="AA55">
        <v>1.86908208205427</v>
      </c>
      <c r="AB55">
        <v>2.5410741136742301</v>
      </c>
      <c r="AC55">
        <v>0.42381312568126001</v>
      </c>
      <c r="AD55">
        <v>0.130917917945721</v>
      </c>
      <c r="AE55">
        <v>0.45892588632575998</v>
      </c>
      <c r="AF55">
        <v>0</v>
      </c>
      <c r="AG55">
        <v>0</v>
      </c>
      <c r="AH55">
        <v>4.4101561957285103E-2</v>
      </c>
      <c r="AI55">
        <v>5.8984380427148401E-3</v>
      </c>
      <c r="AJ55">
        <v>14</v>
      </c>
      <c r="AK55">
        <v>1</v>
      </c>
      <c r="AL55">
        <f t="shared" si="0"/>
        <v>1</v>
      </c>
      <c r="AM55">
        <f t="shared" si="1"/>
        <v>7.1428571428571425E-2</v>
      </c>
    </row>
    <row r="56" spans="1:39" x14ac:dyDescent="0.2">
      <c r="A56" t="s">
        <v>119</v>
      </c>
      <c r="B56" t="s">
        <v>84</v>
      </c>
      <c r="C56" t="s">
        <v>37</v>
      </c>
      <c r="D56" t="s">
        <v>84</v>
      </c>
      <c r="E56">
        <v>0.83188097705273201</v>
      </c>
      <c r="F56">
        <v>-0.30611941318111602</v>
      </c>
      <c r="G56">
        <v>-1.13800039023384</v>
      </c>
      <c r="H56">
        <v>11</v>
      </c>
      <c r="I56">
        <v>5</v>
      </c>
      <c r="J56">
        <v>6</v>
      </c>
      <c r="K56">
        <v>0.45454545454545398</v>
      </c>
      <c r="L56">
        <v>8.8035668789559995</v>
      </c>
      <c r="M56">
        <v>4.0548431460685501</v>
      </c>
      <c r="N56">
        <v>4.7487237328874397</v>
      </c>
      <c r="O56">
        <v>0.46059094022006403</v>
      </c>
      <c r="P56">
        <v>0.94515685393144</v>
      </c>
      <c r="Q56">
        <v>1.2512762671125499</v>
      </c>
      <c r="R56">
        <v>0</v>
      </c>
      <c r="S56">
        <v>0</v>
      </c>
      <c r="T56">
        <v>1.7028175781346199E-2</v>
      </c>
      <c r="U56">
        <v>4.2484199633346202E-3</v>
      </c>
      <c r="V56">
        <v>6</v>
      </c>
      <c r="W56">
        <v>2</v>
      </c>
      <c r="X56">
        <v>4</v>
      </c>
      <c r="Y56">
        <v>0.33333333333333298</v>
      </c>
      <c r="Z56">
        <v>8.7760014141983298</v>
      </c>
      <c r="AA56">
        <v>3.9570009022160901</v>
      </c>
      <c r="AB56">
        <v>4.8190005119822397</v>
      </c>
      <c r="AC56">
        <v>0.45088881774952999</v>
      </c>
      <c r="AD56">
        <v>-1.9570009022160899</v>
      </c>
      <c r="AE56">
        <v>-0.819000511982243</v>
      </c>
      <c r="AF56">
        <v>2</v>
      </c>
      <c r="AG56">
        <v>2</v>
      </c>
      <c r="AH56">
        <v>3.9710413638906497E-2</v>
      </c>
      <c r="AI56">
        <v>-1.25610923719381E-2</v>
      </c>
      <c r="AJ56">
        <v>27</v>
      </c>
      <c r="AK56">
        <v>7</v>
      </c>
      <c r="AL56">
        <f t="shared" si="0"/>
        <v>0.63636363636363635</v>
      </c>
      <c r="AM56">
        <f t="shared" si="1"/>
        <v>0.25925925925925924</v>
      </c>
    </row>
    <row r="57" spans="1:39" x14ac:dyDescent="0.2">
      <c r="A57" t="s">
        <v>120</v>
      </c>
      <c r="B57" t="s">
        <v>51</v>
      </c>
      <c r="C57" t="s">
        <v>37</v>
      </c>
      <c r="D57" t="s">
        <v>51</v>
      </c>
      <c r="E57">
        <v>-1.6166012845978699</v>
      </c>
      <c r="F57">
        <v>-0.36363489160643597</v>
      </c>
      <c r="G57">
        <v>1.2529663929914301</v>
      </c>
      <c r="H57">
        <v>2</v>
      </c>
      <c r="I57">
        <v>1</v>
      </c>
      <c r="J57">
        <v>1</v>
      </c>
      <c r="K57">
        <v>0.5</v>
      </c>
      <c r="L57">
        <v>2.2266544857364701</v>
      </c>
      <c r="M57">
        <v>1.2951446886714499</v>
      </c>
      <c r="N57">
        <v>0.93150979706501902</v>
      </c>
      <c r="O57">
        <v>0.58165498822017803</v>
      </c>
      <c r="P57">
        <v>-0.29514468867145499</v>
      </c>
      <c r="Q57">
        <v>6.8490202934980704E-2</v>
      </c>
      <c r="R57">
        <v>0</v>
      </c>
      <c r="S57">
        <v>0</v>
      </c>
      <c r="T57">
        <v>3.6502532553056903E-2</v>
      </c>
      <c r="U57">
        <v>-3.7156473071553201E-3</v>
      </c>
      <c r="V57">
        <v>1</v>
      </c>
      <c r="W57">
        <v>1</v>
      </c>
      <c r="X57">
        <v>0</v>
      </c>
      <c r="Y57">
        <v>1</v>
      </c>
      <c r="Z57">
        <v>1.20357329441967</v>
      </c>
      <c r="AA57">
        <v>0.47530345071411501</v>
      </c>
      <c r="AB57">
        <v>0.72826984370555503</v>
      </c>
      <c r="AC57">
        <v>0.39491026671814999</v>
      </c>
      <c r="AD57">
        <v>0.52469654928588405</v>
      </c>
      <c r="AE57">
        <v>-0.72826984370555503</v>
      </c>
      <c r="AF57">
        <v>0</v>
      </c>
      <c r="AG57">
        <v>1</v>
      </c>
      <c r="AH57">
        <v>5.4707877019075903E-2</v>
      </c>
      <c r="AI57">
        <v>-9.2533315645304901E-3</v>
      </c>
      <c r="AJ57">
        <v>5</v>
      </c>
      <c r="AK57">
        <v>1</v>
      </c>
      <c r="AL57">
        <f t="shared" si="0"/>
        <v>0.5</v>
      </c>
      <c r="AM57">
        <f t="shared" si="1"/>
        <v>0.2</v>
      </c>
    </row>
    <row r="58" spans="1:39" x14ac:dyDescent="0.2">
      <c r="A58" t="s">
        <v>121</v>
      </c>
      <c r="B58" t="s">
        <v>57</v>
      </c>
      <c r="C58" t="s">
        <v>37</v>
      </c>
      <c r="D58" t="s">
        <v>57</v>
      </c>
      <c r="E58">
        <v>-0.137599697205116</v>
      </c>
      <c r="F58">
        <v>-0.48891145402811997</v>
      </c>
      <c r="G58">
        <v>-0.35131175682300297</v>
      </c>
      <c r="H58">
        <v>1</v>
      </c>
      <c r="I58">
        <v>0</v>
      </c>
      <c r="J58">
        <v>1</v>
      </c>
      <c r="L58">
        <v>0.51108854597187903</v>
      </c>
      <c r="M58">
        <v>0</v>
      </c>
      <c r="N58">
        <v>0.51108854597187903</v>
      </c>
      <c r="P58">
        <v>0</v>
      </c>
      <c r="Q58">
        <v>0.48891145402811997</v>
      </c>
      <c r="R58">
        <v>0</v>
      </c>
      <c r="S58">
        <v>0</v>
      </c>
      <c r="T58">
        <v>1.31048345120994E-2</v>
      </c>
      <c r="U58">
        <v>1.2536191128926099E-2</v>
      </c>
      <c r="V58">
        <v>1</v>
      </c>
      <c r="W58">
        <v>0</v>
      </c>
      <c r="X58">
        <v>1</v>
      </c>
      <c r="Z58">
        <v>1.2349022851987901</v>
      </c>
      <c r="AA58">
        <v>0.29310702101089597</v>
      </c>
      <c r="AB58">
        <v>0.94179526418789306</v>
      </c>
      <c r="AC58">
        <v>0.23735239988135001</v>
      </c>
      <c r="AD58">
        <v>-0.29310702101089597</v>
      </c>
      <c r="AE58">
        <v>5.8204735812106598E-2</v>
      </c>
      <c r="AF58">
        <v>0</v>
      </c>
      <c r="AG58">
        <v>0</v>
      </c>
      <c r="AH58">
        <v>4.2582837420647897E-2</v>
      </c>
      <c r="AI58">
        <v>-8.1000787999582803E-3</v>
      </c>
      <c r="AJ58">
        <v>1</v>
      </c>
      <c r="AK58">
        <v>0</v>
      </c>
      <c r="AL58">
        <f t="shared" si="0"/>
        <v>0</v>
      </c>
      <c r="AM58">
        <f t="shared" si="1"/>
        <v>0</v>
      </c>
    </row>
    <row r="59" spans="1:39" x14ac:dyDescent="0.2">
      <c r="A59" t="s">
        <v>122</v>
      </c>
      <c r="B59" t="s">
        <v>80</v>
      </c>
      <c r="C59" t="s">
        <v>37</v>
      </c>
      <c r="D59" t="s">
        <v>80</v>
      </c>
      <c r="E59">
        <v>-0.69671724929053203</v>
      </c>
      <c r="F59">
        <v>-0.579651067949153</v>
      </c>
      <c r="G59">
        <v>0.117066181341378</v>
      </c>
      <c r="H59">
        <v>2</v>
      </c>
      <c r="I59">
        <v>1</v>
      </c>
      <c r="J59">
        <v>1</v>
      </c>
      <c r="K59">
        <v>0.5</v>
      </c>
      <c r="L59">
        <v>3.0203089342001501</v>
      </c>
      <c r="M59">
        <v>1.7999800010746501</v>
      </c>
      <c r="N59">
        <v>1.2203289331254901</v>
      </c>
      <c r="O59">
        <v>0.59595890363822301</v>
      </c>
      <c r="P59">
        <v>-0.79998000107465195</v>
      </c>
      <c r="Q59">
        <v>-0.220328933125499</v>
      </c>
      <c r="R59">
        <v>0</v>
      </c>
      <c r="S59">
        <v>0</v>
      </c>
      <c r="T59">
        <v>1.8529502663804601E-2</v>
      </c>
      <c r="U59">
        <v>-6.25956401349785E-3</v>
      </c>
      <c r="V59">
        <v>4</v>
      </c>
      <c r="W59">
        <v>2</v>
      </c>
      <c r="X59">
        <v>2</v>
      </c>
      <c r="Y59">
        <v>0.5</v>
      </c>
      <c r="Z59">
        <v>1.4436473656706299</v>
      </c>
      <c r="AA59">
        <v>0.66329059216462605</v>
      </c>
      <c r="AB59">
        <v>0.78035677350600496</v>
      </c>
      <c r="AC59">
        <v>0.45945471722348302</v>
      </c>
      <c r="AD59">
        <v>1.3367094078353701</v>
      </c>
      <c r="AE59">
        <v>1.21964322649399</v>
      </c>
      <c r="AF59">
        <v>1</v>
      </c>
      <c r="AG59">
        <v>0</v>
      </c>
      <c r="AH59">
        <v>2.7762449339819799E-2</v>
      </c>
      <c r="AI59">
        <v>4.9160627583256997E-2</v>
      </c>
      <c r="AJ59">
        <v>11</v>
      </c>
      <c r="AK59">
        <v>1</v>
      </c>
      <c r="AL59">
        <f t="shared" si="0"/>
        <v>0.5</v>
      </c>
      <c r="AM59">
        <f t="shared" si="1"/>
        <v>9.0909090909090912E-2</v>
      </c>
    </row>
    <row r="60" spans="1:39" x14ac:dyDescent="0.2">
      <c r="A60" t="s">
        <v>123</v>
      </c>
      <c r="B60" t="s">
        <v>113</v>
      </c>
      <c r="C60" t="s">
        <v>37</v>
      </c>
      <c r="D60" t="s">
        <v>113</v>
      </c>
      <c r="E60">
        <v>-3.4449969636247402</v>
      </c>
      <c r="F60">
        <v>-0.63767598780844204</v>
      </c>
      <c r="G60">
        <v>2.8073209758162898</v>
      </c>
      <c r="H60">
        <v>12</v>
      </c>
      <c r="I60">
        <v>6</v>
      </c>
      <c r="J60">
        <v>6</v>
      </c>
      <c r="K60">
        <v>0.5</v>
      </c>
      <c r="L60">
        <v>17.234731924636598</v>
      </c>
      <c r="M60">
        <v>8.9362039562225402</v>
      </c>
      <c r="N60">
        <v>8.2985279684140991</v>
      </c>
      <c r="O60">
        <v>0.51849973618959799</v>
      </c>
      <c r="P60">
        <v>-2.9362039562225402</v>
      </c>
      <c r="Q60">
        <v>-2.2985279684141</v>
      </c>
      <c r="R60">
        <v>2</v>
      </c>
      <c r="S60">
        <v>0</v>
      </c>
      <c r="T60">
        <v>2.0890584151074702E-2</v>
      </c>
      <c r="U60">
        <v>-6.34512960562017E-3</v>
      </c>
      <c r="V60">
        <v>10</v>
      </c>
      <c r="W60">
        <v>4</v>
      </c>
      <c r="X60">
        <v>6</v>
      </c>
      <c r="Y60">
        <v>0.4</v>
      </c>
      <c r="Z60">
        <v>17.401189535520398</v>
      </c>
      <c r="AA60">
        <v>6.2969342798520902</v>
      </c>
      <c r="AB60">
        <v>11.104255255668299</v>
      </c>
      <c r="AC60">
        <v>0.36186803591779498</v>
      </c>
      <c r="AD60">
        <v>-2.2969342798520902</v>
      </c>
      <c r="AE60">
        <v>-5.1042552556683898</v>
      </c>
      <c r="AF60">
        <v>1</v>
      </c>
      <c r="AG60">
        <v>0</v>
      </c>
      <c r="AH60">
        <v>4.4618434706462699E-2</v>
      </c>
      <c r="AI60">
        <v>-1.8977409065437101E-2</v>
      </c>
      <c r="AJ60">
        <v>61</v>
      </c>
      <c r="AK60">
        <v>8</v>
      </c>
      <c r="AL60">
        <f t="shared" si="0"/>
        <v>0.66666666666666663</v>
      </c>
      <c r="AM60">
        <f t="shared" si="1"/>
        <v>0.13114754098360656</v>
      </c>
    </row>
    <row r="61" spans="1:39" x14ac:dyDescent="0.2">
      <c r="A61" t="s">
        <v>124</v>
      </c>
      <c r="B61" t="s">
        <v>125</v>
      </c>
      <c r="C61" t="s">
        <v>37</v>
      </c>
      <c r="D61" t="s">
        <v>125</v>
      </c>
      <c r="E61">
        <v>-5.66329480315847</v>
      </c>
      <c r="F61">
        <v>-0.76326277395048003</v>
      </c>
      <c r="G61">
        <v>4.9000320292079902</v>
      </c>
      <c r="H61">
        <v>17</v>
      </c>
      <c r="I61">
        <v>10</v>
      </c>
      <c r="J61">
        <v>7</v>
      </c>
      <c r="K61">
        <v>0.58823529411764697</v>
      </c>
      <c r="L61">
        <v>12.9442991403275</v>
      </c>
      <c r="M61">
        <v>8.3537809571389996</v>
      </c>
      <c r="N61">
        <v>4.5905181831885198</v>
      </c>
      <c r="O61">
        <v>0.64536371313554397</v>
      </c>
      <c r="P61">
        <v>1.64621904286099</v>
      </c>
      <c r="Q61">
        <v>2.40948181681147</v>
      </c>
      <c r="R61">
        <v>3</v>
      </c>
      <c r="S61">
        <v>1</v>
      </c>
      <c r="T61">
        <v>2.6150099273388901E-2</v>
      </c>
      <c r="U61">
        <v>8.1933350700453805E-3</v>
      </c>
      <c r="V61">
        <v>10</v>
      </c>
      <c r="W61">
        <v>7</v>
      </c>
      <c r="X61">
        <v>3</v>
      </c>
      <c r="Y61">
        <v>0.7</v>
      </c>
      <c r="Z61">
        <v>8.3414889019012808</v>
      </c>
      <c r="AA61">
        <v>3.72072843634664</v>
      </c>
      <c r="AB61">
        <v>4.6207604655546302</v>
      </c>
      <c r="AC61">
        <v>0.44605087654058601</v>
      </c>
      <c r="AD61">
        <v>3.2792715636533498</v>
      </c>
      <c r="AE61">
        <v>-1.6207604655546299</v>
      </c>
      <c r="AF61">
        <v>3</v>
      </c>
      <c r="AG61">
        <v>1</v>
      </c>
      <c r="AH61">
        <v>3.9911430152637699E-2</v>
      </c>
      <c r="AI61">
        <v>7.9354597995153799E-3</v>
      </c>
      <c r="AJ61">
        <v>36</v>
      </c>
      <c r="AK61">
        <v>12</v>
      </c>
      <c r="AL61">
        <f t="shared" si="0"/>
        <v>0.70588235294117652</v>
      </c>
      <c r="AM61">
        <f t="shared" si="1"/>
        <v>0.33333333333333331</v>
      </c>
    </row>
    <row r="62" spans="1:39" x14ac:dyDescent="0.2">
      <c r="A62" t="s">
        <v>126</v>
      </c>
      <c r="B62" t="s">
        <v>111</v>
      </c>
      <c r="C62" t="s">
        <v>37</v>
      </c>
      <c r="D62" t="s">
        <v>111</v>
      </c>
      <c r="E62">
        <v>3.13983605340258</v>
      </c>
      <c r="F62">
        <v>-0.89363260983577497</v>
      </c>
      <c r="G62">
        <v>-4.0334686632383603</v>
      </c>
      <c r="H62">
        <v>8</v>
      </c>
      <c r="I62">
        <v>4</v>
      </c>
      <c r="J62">
        <v>4</v>
      </c>
      <c r="K62">
        <v>0.5</v>
      </c>
      <c r="L62">
        <v>13.2568240478343</v>
      </c>
      <c r="M62">
        <v>7.0752283288350402</v>
      </c>
      <c r="N62">
        <v>6.1815957189992696</v>
      </c>
      <c r="O62">
        <v>0.53370462663648899</v>
      </c>
      <c r="P62">
        <v>-3.0752283288350402</v>
      </c>
      <c r="Q62">
        <v>-2.1815957189992701</v>
      </c>
      <c r="R62">
        <v>0</v>
      </c>
      <c r="S62">
        <v>1</v>
      </c>
      <c r="T62">
        <v>2.0553215578037701E-2</v>
      </c>
      <c r="U62">
        <v>-8.1501148028439007E-3</v>
      </c>
      <c r="V62">
        <v>10</v>
      </c>
      <c r="W62">
        <v>1</v>
      </c>
      <c r="X62">
        <v>9</v>
      </c>
      <c r="Y62">
        <v>0.1</v>
      </c>
      <c r="Z62">
        <v>8.5997512148080109</v>
      </c>
      <c r="AA62">
        <v>2.3166099390231798</v>
      </c>
      <c r="AB62">
        <v>6.2831412757848204</v>
      </c>
      <c r="AC62">
        <v>0.26938104151596698</v>
      </c>
      <c r="AD62">
        <v>-1.31660993902318</v>
      </c>
      <c r="AE62">
        <v>2.7168587242151698</v>
      </c>
      <c r="AF62">
        <v>1</v>
      </c>
      <c r="AG62">
        <v>1</v>
      </c>
      <c r="AH62">
        <v>3.1616732407382303E-2</v>
      </c>
      <c r="AI62">
        <v>5.1479734749705396E-3</v>
      </c>
      <c r="AJ62">
        <v>38</v>
      </c>
      <c r="AK62">
        <v>7</v>
      </c>
      <c r="AL62">
        <f t="shared" si="0"/>
        <v>0.875</v>
      </c>
      <c r="AM62">
        <f t="shared" si="1"/>
        <v>0.18421052631578946</v>
      </c>
    </row>
    <row r="63" spans="1:39" x14ac:dyDescent="0.2">
      <c r="A63" t="s">
        <v>127</v>
      </c>
      <c r="B63" t="s">
        <v>94</v>
      </c>
      <c r="C63" t="s">
        <v>37</v>
      </c>
      <c r="D63" t="s">
        <v>94</v>
      </c>
      <c r="E63">
        <v>-2.42219751355307</v>
      </c>
      <c r="F63">
        <v>-1.0628495155727899</v>
      </c>
      <c r="G63">
        <v>1.3593479979802801</v>
      </c>
      <c r="H63">
        <v>2</v>
      </c>
      <c r="I63">
        <v>0</v>
      </c>
      <c r="J63">
        <v>2</v>
      </c>
      <c r="L63">
        <v>1.83573647950357</v>
      </c>
      <c r="M63">
        <v>0.44929299753818203</v>
      </c>
      <c r="N63">
        <v>1.3864434819653899</v>
      </c>
      <c r="O63">
        <v>0.244748090237702</v>
      </c>
      <c r="P63">
        <v>-0.44929299753818203</v>
      </c>
      <c r="Q63">
        <v>0.61355651803460998</v>
      </c>
      <c r="R63">
        <v>0</v>
      </c>
      <c r="S63">
        <v>0</v>
      </c>
      <c r="T63">
        <v>1.6997559995403401E-2</v>
      </c>
      <c r="U63">
        <v>1.5209585231150699E-3</v>
      </c>
      <c r="V63">
        <v>3</v>
      </c>
      <c r="W63">
        <v>2</v>
      </c>
      <c r="X63">
        <v>1</v>
      </c>
      <c r="Y63">
        <v>0.66666666666666596</v>
      </c>
      <c r="Z63">
        <v>2.1142228585337</v>
      </c>
      <c r="AA63">
        <v>0.87743743027670995</v>
      </c>
      <c r="AB63">
        <v>1.2367854282569899</v>
      </c>
      <c r="AC63">
        <v>0.415016528051942</v>
      </c>
      <c r="AD63">
        <v>1.1225625697232799</v>
      </c>
      <c r="AE63">
        <v>-0.236785428256993</v>
      </c>
      <c r="AF63">
        <v>1</v>
      </c>
      <c r="AG63">
        <v>1</v>
      </c>
      <c r="AH63">
        <v>4.3147405276198002E-2</v>
      </c>
      <c r="AI63">
        <v>1.8077084519720302E-2</v>
      </c>
      <c r="AJ63">
        <v>5</v>
      </c>
      <c r="AK63">
        <v>0</v>
      </c>
      <c r="AL63">
        <f t="shared" si="0"/>
        <v>0</v>
      </c>
      <c r="AM63">
        <f t="shared" si="1"/>
        <v>0</v>
      </c>
    </row>
    <row r="64" spans="1:39" x14ac:dyDescent="0.2">
      <c r="A64" t="s">
        <v>128</v>
      </c>
      <c r="B64" t="s">
        <v>74</v>
      </c>
      <c r="C64" t="s">
        <v>37</v>
      </c>
      <c r="D64" t="s">
        <v>74</v>
      </c>
      <c r="E64">
        <v>-2.2790276724838301</v>
      </c>
      <c r="F64">
        <v>-1.2970502829597901</v>
      </c>
      <c r="G64">
        <v>0.98197738952403502</v>
      </c>
      <c r="H64">
        <v>1</v>
      </c>
      <c r="I64">
        <v>0</v>
      </c>
      <c r="J64">
        <v>1</v>
      </c>
      <c r="L64">
        <v>2.5376169585450601</v>
      </c>
      <c r="M64">
        <v>1.4173336207524201</v>
      </c>
      <c r="N64">
        <v>1.12028333779263</v>
      </c>
      <c r="O64">
        <v>0.55852937772178701</v>
      </c>
      <c r="P64">
        <v>-1.4173336207524201</v>
      </c>
      <c r="Q64">
        <v>-0.12028333779263201</v>
      </c>
      <c r="R64">
        <v>0</v>
      </c>
      <c r="S64">
        <v>0</v>
      </c>
      <c r="T64">
        <v>3.0573698295723602E-2</v>
      </c>
      <c r="U64">
        <v>-1.8525505524639298E-2</v>
      </c>
      <c r="V64">
        <v>1</v>
      </c>
      <c r="W64">
        <v>1</v>
      </c>
      <c r="X64">
        <v>0</v>
      </c>
      <c r="Y64">
        <v>1</v>
      </c>
      <c r="Z64">
        <v>1.20695144676633</v>
      </c>
      <c r="AA64">
        <v>0.61248702862114801</v>
      </c>
      <c r="AB64">
        <v>0.59446441814518303</v>
      </c>
      <c r="AC64">
        <v>0.50746617045956999</v>
      </c>
      <c r="AD64">
        <v>0.38751297137885099</v>
      </c>
      <c r="AE64">
        <v>-0.59446441814518303</v>
      </c>
      <c r="AF64">
        <v>0</v>
      </c>
      <c r="AG64">
        <v>0</v>
      </c>
      <c r="AH64">
        <v>3.77172327114478E-2</v>
      </c>
      <c r="AI64">
        <v>-6.4672327114478701E-3</v>
      </c>
      <c r="AJ64">
        <v>8</v>
      </c>
      <c r="AK64">
        <v>1</v>
      </c>
      <c r="AL64">
        <f t="shared" si="0"/>
        <v>1</v>
      </c>
      <c r="AM64">
        <f t="shared" si="1"/>
        <v>0.125</v>
      </c>
    </row>
    <row r="65" spans="1:39" x14ac:dyDescent="0.2">
      <c r="A65" t="s">
        <v>129</v>
      </c>
      <c r="B65" t="s">
        <v>125</v>
      </c>
      <c r="C65" t="s">
        <v>37</v>
      </c>
      <c r="D65" t="s">
        <v>125</v>
      </c>
      <c r="E65">
        <v>-5.2556416064081404</v>
      </c>
      <c r="F65">
        <v>-1.30027366399953</v>
      </c>
      <c r="G65">
        <v>3.9553679424086101</v>
      </c>
      <c r="H65">
        <v>22</v>
      </c>
      <c r="I65">
        <v>11</v>
      </c>
      <c r="J65">
        <v>11</v>
      </c>
      <c r="K65">
        <v>0.5</v>
      </c>
      <c r="L65">
        <v>31.824680488075401</v>
      </c>
      <c r="M65">
        <v>16.5624770760374</v>
      </c>
      <c r="N65">
        <v>15.2622034120379</v>
      </c>
      <c r="O65">
        <v>0.52042869942538295</v>
      </c>
      <c r="P65">
        <v>-5.5624770760374798</v>
      </c>
      <c r="Q65">
        <v>-4.2622034120379402</v>
      </c>
      <c r="R65">
        <v>4</v>
      </c>
      <c r="S65">
        <v>4</v>
      </c>
      <c r="T65">
        <v>2.46894340481578E-2</v>
      </c>
      <c r="U65">
        <v>-7.62193986662174E-3</v>
      </c>
      <c r="V65">
        <v>16</v>
      </c>
      <c r="W65">
        <v>8</v>
      </c>
      <c r="X65">
        <v>8</v>
      </c>
      <c r="Y65">
        <v>0.5</v>
      </c>
      <c r="Z65">
        <v>22.1961999910895</v>
      </c>
      <c r="AA65">
        <v>9.1204160243404893</v>
      </c>
      <c r="AB65">
        <v>13.0757839667491</v>
      </c>
      <c r="AC65">
        <v>0.410899885025444</v>
      </c>
      <c r="AD65">
        <v>-1.1204160243404799</v>
      </c>
      <c r="AE65">
        <v>-5.0757839667490998</v>
      </c>
      <c r="AF65">
        <v>1</v>
      </c>
      <c r="AG65">
        <v>1</v>
      </c>
      <c r="AH65">
        <v>4.1565917586310001E-2</v>
      </c>
      <c r="AI65">
        <v>-1.16033707698306E-2</v>
      </c>
      <c r="AJ65">
        <v>97</v>
      </c>
      <c r="AK65">
        <v>17</v>
      </c>
      <c r="AL65">
        <f t="shared" si="0"/>
        <v>0.77272727272727271</v>
      </c>
      <c r="AM65">
        <f t="shared" si="1"/>
        <v>0.17525773195876287</v>
      </c>
    </row>
    <row r="66" spans="1:39" x14ac:dyDescent="0.2">
      <c r="A66" t="s">
        <v>130</v>
      </c>
      <c r="B66" t="s">
        <v>65</v>
      </c>
      <c r="C66" t="s">
        <v>37</v>
      </c>
      <c r="D66" t="s">
        <v>65</v>
      </c>
      <c r="E66">
        <v>-7.01942394200473</v>
      </c>
      <c r="F66">
        <v>-1.7416894514308701</v>
      </c>
      <c r="G66">
        <v>5.2777344905738603</v>
      </c>
      <c r="H66">
        <v>13</v>
      </c>
      <c r="I66">
        <v>4</v>
      </c>
      <c r="J66">
        <v>9</v>
      </c>
      <c r="K66">
        <v>0.30769230769230699</v>
      </c>
      <c r="L66">
        <v>11.5476339161153</v>
      </c>
      <c r="M66">
        <v>4.1446616837731103</v>
      </c>
      <c r="N66">
        <v>7.4029722323422398</v>
      </c>
      <c r="O66">
        <v>0.35891869398362303</v>
      </c>
      <c r="P66">
        <v>-0.144661683773118</v>
      </c>
      <c r="Q66">
        <v>1.59702776765775</v>
      </c>
      <c r="R66">
        <v>1</v>
      </c>
      <c r="S66">
        <v>0</v>
      </c>
      <c r="T66">
        <v>1.75229649713434E-2</v>
      </c>
      <c r="U66">
        <v>2.2038939057429899E-3</v>
      </c>
      <c r="V66">
        <v>11</v>
      </c>
      <c r="W66">
        <v>8</v>
      </c>
      <c r="X66">
        <v>3</v>
      </c>
      <c r="Y66">
        <v>0.72727272727272696</v>
      </c>
      <c r="Z66">
        <v>13.819390145329599</v>
      </c>
      <c r="AA66">
        <v>6.7708278273778797</v>
      </c>
      <c r="AB66">
        <v>7.04856231795174</v>
      </c>
      <c r="AC66">
        <v>0.48995127543064099</v>
      </c>
      <c r="AD66">
        <v>1.2291721726221101</v>
      </c>
      <c r="AE66">
        <v>-4.04856231795174</v>
      </c>
      <c r="AF66">
        <v>2</v>
      </c>
      <c r="AG66">
        <v>1</v>
      </c>
      <c r="AH66">
        <v>4.6529933149257997E-2</v>
      </c>
      <c r="AI66">
        <v>-9.4928961122209797E-3</v>
      </c>
      <c r="AJ66">
        <v>37</v>
      </c>
      <c r="AK66">
        <v>9</v>
      </c>
      <c r="AL66">
        <f t="shared" si="0"/>
        <v>0.69230769230769229</v>
      </c>
      <c r="AM66">
        <f t="shared" si="1"/>
        <v>0.24324324324324326</v>
      </c>
    </row>
    <row r="67" spans="1:39" x14ac:dyDescent="0.2">
      <c r="A67" t="s">
        <v>131</v>
      </c>
      <c r="B67" t="s">
        <v>80</v>
      </c>
      <c r="C67" t="s">
        <v>37</v>
      </c>
      <c r="D67" t="s">
        <v>80</v>
      </c>
      <c r="E67">
        <v>-0.92193199021620198</v>
      </c>
      <c r="F67">
        <v>-1.7693877512718399</v>
      </c>
      <c r="G67">
        <v>-0.84745576105563702</v>
      </c>
      <c r="H67">
        <v>16</v>
      </c>
      <c r="I67">
        <v>8</v>
      </c>
      <c r="J67">
        <v>8</v>
      </c>
      <c r="K67">
        <v>0.5</v>
      </c>
      <c r="L67">
        <v>11.299021545161899</v>
      </c>
      <c r="M67">
        <v>6.5342046482168898</v>
      </c>
      <c r="N67">
        <v>4.7648168969450504</v>
      </c>
      <c r="O67">
        <v>0.57829827318231197</v>
      </c>
      <c r="P67">
        <v>1.4657953517830999</v>
      </c>
      <c r="Q67">
        <v>3.2351831030549398</v>
      </c>
      <c r="R67">
        <v>3</v>
      </c>
      <c r="S67">
        <v>3</v>
      </c>
      <c r="T67">
        <v>1.7068008376377501E-2</v>
      </c>
      <c r="U67">
        <v>7.10117591365264E-3</v>
      </c>
      <c r="V67">
        <v>17</v>
      </c>
      <c r="W67">
        <v>7</v>
      </c>
      <c r="X67">
        <v>10</v>
      </c>
      <c r="Y67">
        <v>0.41176470588235198</v>
      </c>
      <c r="Z67">
        <v>12.238599399064499</v>
      </c>
      <c r="AA67">
        <v>5.0430275800600999</v>
      </c>
      <c r="AB67">
        <v>7.19557181900446</v>
      </c>
      <c r="AC67">
        <v>0.41205920838013099</v>
      </c>
      <c r="AD67">
        <v>1.9569724199398899</v>
      </c>
      <c r="AE67">
        <v>2.8044281809955298</v>
      </c>
      <c r="AF67">
        <v>1</v>
      </c>
      <c r="AG67">
        <v>1</v>
      </c>
      <c r="AH67">
        <v>4.3093659855861097E-2</v>
      </c>
      <c r="AI67">
        <v>1.6765495073716299E-2</v>
      </c>
      <c r="AJ67">
        <v>27</v>
      </c>
      <c r="AK67">
        <v>9</v>
      </c>
      <c r="AL67">
        <f t="shared" ref="AL67:AL74" si="2">AK67/H67</f>
        <v>0.5625</v>
      </c>
      <c r="AM67">
        <f t="shared" ref="AM67:AM74" si="3">AK67/AJ67</f>
        <v>0.33333333333333331</v>
      </c>
    </row>
    <row r="68" spans="1:39" x14ac:dyDescent="0.2">
      <c r="A68" t="s">
        <v>132</v>
      </c>
      <c r="B68" t="s">
        <v>41</v>
      </c>
      <c r="C68" t="s">
        <v>37</v>
      </c>
      <c r="D68" t="s">
        <v>41</v>
      </c>
      <c r="E68">
        <v>-3.6685188769379402</v>
      </c>
      <c r="F68">
        <v>-2.4024648238277999</v>
      </c>
      <c r="G68">
        <v>1.2660540531101301</v>
      </c>
      <c r="H68">
        <v>3</v>
      </c>
      <c r="I68">
        <v>0</v>
      </c>
      <c r="J68">
        <v>3</v>
      </c>
      <c r="L68">
        <v>1.2435161753647801</v>
      </c>
      <c r="M68">
        <v>0.322990499596296</v>
      </c>
      <c r="N68">
        <v>0.92052567576848698</v>
      </c>
      <c r="O68">
        <v>0.25973968493135802</v>
      </c>
      <c r="P68">
        <v>-0.322990499596296</v>
      </c>
      <c r="Q68">
        <v>2.0794743242315099</v>
      </c>
      <c r="R68">
        <v>0</v>
      </c>
      <c r="S68">
        <v>0</v>
      </c>
      <c r="T68">
        <v>9.6396602741456103E-3</v>
      </c>
      <c r="U68">
        <v>1.3616153679342701E-2</v>
      </c>
      <c r="V68">
        <v>5</v>
      </c>
      <c r="W68">
        <v>2</v>
      </c>
      <c r="X68">
        <v>3</v>
      </c>
      <c r="Y68">
        <v>0.4</v>
      </c>
      <c r="Z68">
        <v>4.7329897520050199</v>
      </c>
      <c r="AA68">
        <v>1.23346784944744</v>
      </c>
      <c r="AB68">
        <v>3.4995219025575701</v>
      </c>
      <c r="AC68">
        <v>0.260610716286658</v>
      </c>
      <c r="AD68">
        <v>0.76653215055255597</v>
      </c>
      <c r="AE68">
        <v>-0.499521902557576</v>
      </c>
      <c r="AF68">
        <v>2</v>
      </c>
      <c r="AG68">
        <v>1</v>
      </c>
      <c r="AH68">
        <v>5.9911262683607802E-2</v>
      </c>
      <c r="AI68">
        <v>3.37987655689847E-3</v>
      </c>
      <c r="AJ68">
        <v>4</v>
      </c>
      <c r="AK68">
        <v>0</v>
      </c>
      <c r="AL68">
        <f t="shared" si="2"/>
        <v>0</v>
      </c>
      <c r="AM68">
        <f t="shared" si="3"/>
        <v>0</v>
      </c>
    </row>
    <row r="69" spans="1:39" x14ac:dyDescent="0.2">
      <c r="A69" t="s">
        <v>133</v>
      </c>
      <c r="B69" t="s">
        <v>55</v>
      </c>
      <c r="C69" t="s">
        <v>37</v>
      </c>
      <c r="D69" t="s">
        <v>55</v>
      </c>
      <c r="E69">
        <v>-7.2589510171921399</v>
      </c>
      <c r="F69">
        <v>-2.4170337041102701</v>
      </c>
      <c r="G69">
        <v>4.8419173130818702</v>
      </c>
      <c r="H69">
        <v>6</v>
      </c>
      <c r="I69">
        <v>2</v>
      </c>
      <c r="J69">
        <v>4</v>
      </c>
      <c r="K69">
        <v>0.33333333333333298</v>
      </c>
      <c r="L69">
        <v>9.8365192477248904</v>
      </c>
      <c r="M69">
        <v>5.1267764759175796</v>
      </c>
      <c r="N69">
        <v>4.7097427718073099</v>
      </c>
      <c r="O69">
        <v>0.52119823555505795</v>
      </c>
      <c r="P69">
        <v>-3.12677647591758</v>
      </c>
      <c r="Q69">
        <v>-0.70974277180731105</v>
      </c>
      <c r="R69">
        <v>0</v>
      </c>
      <c r="S69">
        <v>0</v>
      </c>
      <c r="T69">
        <v>2.31447511711174E-2</v>
      </c>
      <c r="U69">
        <v>-9.0271041122938697E-3</v>
      </c>
      <c r="V69">
        <v>4</v>
      </c>
      <c r="W69">
        <v>2</v>
      </c>
      <c r="X69">
        <v>2</v>
      </c>
      <c r="Y69">
        <v>0.5</v>
      </c>
      <c r="Z69">
        <v>7.3049052458871202</v>
      </c>
      <c r="AA69">
        <v>1.2314939664026201</v>
      </c>
      <c r="AB69">
        <v>6.0734112794844997</v>
      </c>
      <c r="AC69">
        <v>0.16858452299514601</v>
      </c>
      <c r="AD69">
        <v>0.76850603359737202</v>
      </c>
      <c r="AE69">
        <v>-4.0734112794844997</v>
      </c>
      <c r="AF69">
        <v>0</v>
      </c>
      <c r="AG69">
        <v>0</v>
      </c>
      <c r="AH69">
        <v>3.3508739660032698E-2</v>
      </c>
      <c r="AI69">
        <v>-1.5160115806821599E-2</v>
      </c>
      <c r="AJ69">
        <v>39</v>
      </c>
      <c r="AK69">
        <v>4</v>
      </c>
      <c r="AL69">
        <f t="shared" si="2"/>
        <v>0.66666666666666663</v>
      </c>
      <c r="AM69">
        <f t="shared" si="3"/>
        <v>0.10256410256410256</v>
      </c>
    </row>
    <row r="70" spans="1:39" x14ac:dyDescent="0.2">
      <c r="A70" t="s">
        <v>134</v>
      </c>
      <c r="B70" t="s">
        <v>102</v>
      </c>
      <c r="C70" t="s">
        <v>37</v>
      </c>
      <c r="D70" t="s">
        <v>102</v>
      </c>
      <c r="E70">
        <v>-0.87410611866746102</v>
      </c>
      <c r="F70">
        <v>-3.0179165733687201</v>
      </c>
      <c r="G70">
        <v>-2.14381045470126</v>
      </c>
      <c r="H70">
        <v>5</v>
      </c>
      <c r="I70">
        <v>1</v>
      </c>
      <c r="J70">
        <v>4</v>
      </c>
      <c r="K70">
        <v>0.2</v>
      </c>
      <c r="L70">
        <v>2.7969076466760101</v>
      </c>
      <c r="M70">
        <v>1.40741211002237</v>
      </c>
      <c r="N70">
        <v>1.3894955366536399</v>
      </c>
      <c r="O70">
        <v>0.50320292545054501</v>
      </c>
      <c r="P70">
        <v>-0.40741211002237199</v>
      </c>
      <c r="Q70">
        <v>2.6105044633463499</v>
      </c>
      <c r="R70">
        <v>0</v>
      </c>
      <c r="S70">
        <v>0</v>
      </c>
      <c r="T70">
        <v>2.2555706828032401E-2</v>
      </c>
      <c r="U70">
        <v>1.7766873817128801E-2</v>
      </c>
      <c r="V70">
        <v>7</v>
      </c>
      <c r="W70">
        <v>2</v>
      </c>
      <c r="X70">
        <v>5</v>
      </c>
      <c r="Y70">
        <v>0.28571428571428498</v>
      </c>
      <c r="Z70">
        <v>3.65145606601215</v>
      </c>
      <c r="AA70">
        <v>1.3976332603567001</v>
      </c>
      <c r="AB70">
        <v>2.2538228056554401</v>
      </c>
      <c r="AC70">
        <v>0.38276053034456903</v>
      </c>
      <c r="AD70">
        <v>0.60236673964329301</v>
      </c>
      <c r="AE70">
        <v>2.7461771943445501</v>
      </c>
      <c r="AF70">
        <v>1</v>
      </c>
      <c r="AG70">
        <v>0</v>
      </c>
      <c r="AH70">
        <v>4.5643200825151803E-2</v>
      </c>
      <c r="AI70">
        <v>4.1856799174848101E-2</v>
      </c>
      <c r="AJ70">
        <v>9</v>
      </c>
      <c r="AK70">
        <v>3</v>
      </c>
      <c r="AL70">
        <f t="shared" si="2"/>
        <v>0.6</v>
      </c>
      <c r="AM70">
        <f t="shared" si="3"/>
        <v>0.33333333333333331</v>
      </c>
    </row>
    <row r="71" spans="1:39" x14ac:dyDescent="0.2">
      <c r="A71" t="s">
        <v>135</v>
      </c>
      <c r="B71" t="s">
        <v>41</v>
      </c>
      <c r="C71" t="s">
        <v>37</v>
      </c>
      <c r="D71" t="s">
        <v>41</v>
      </c>
      <c r="E71">
        <v>-4.9015745298397704</v>
      </c>
      <c r="F71">
        <v>-4.9554846592085404</v>
      </c>
      <c r="G71">
        <v>-5.39101293687698E-2</v>
      </c>
      <c r="H71">
        <v>10</v>
      </c>
      <c r="I71">
        <v>3</v>
      </c>
      <c r="J71">
        <v>7</v>
      </c>
      <c r="K71">
        <v>0.3</v>
      </c>
      <c r="L71">
        <v>13.058327348912</v>
      </c>
      <c r="M71">
        <v>7.0069060040602897</v>
      </c>
      <c r="N71">
        <v>6.0514213448517404</v>
      </c>
      <c r="O71">
        <v>0.53658526217326497</v>
      </c>
      <c r="P71">
        <v>-4.0069060040602897</v>
      </c>
      <c r="Q71">
        <v>0.94857865514825102</v>
      </c>
      <c r="R71">
        <v>1</v>
      </c>
      <c r="S71">
        <v>0</v>
      </c>
      <c r="T71">
        <v>1.9577702172281899E-2</v>
      </c>
      <c r="U71">
        <v>-4.5851984241559798E-3</v>
      </c>
      <c r="V71">
        <v>13</v>
      </c>
      <c r="W71">
        <v>6</v>
      </c>
      <c r="X71">
        <v>7</v>
      </c>
      <c r="Y71">
        <v>0.46153846153846101</v>
      </c>
      <c r="Z71">
        <v>15.0453955308712</v>
      </c>
      <c r="AA71">
        <v>7.0496528301200199</v>
      </c>
      <c r="AB71">
        <v>7.9957427007512498</v>
      </c>
      <c r="AC71">
        <v>0.46855882357196998</v>
      </c>
      <c r="AD71">
        <v>-1.0496528301200201</v>
      </c>
      <c r="AE71">
        <v>-0.99574270075125504</v>
      </c>
      <c r="AF71">
        <v>1</v>
      </c>
      <c r="AG71">
        <v>1</v>
      </c>
      <c r="AH71">
        <v>5.2240956704414102E-2</v>
      </c>
      <c r="AI71">
        <v>-7.1020678155252898E-3</v>
      </c>
      <c r="AJ71">
        <v>40</v>
      </c>
      <c r="AK71">
        <v>8</v>
      </c>
      <c r="AL71">
        <f t="shared" si="2"/>
        <v>0.8</v>
      </c>
      <c r="AM71">
        <f t="shared" si="3"/>
        <v>0.2</v>
      </c>
    </row>
    <row r="72" spans="1:39" x14ac:dyDescent="0.2">
      <c r="A72" t="s">
        <v>136</v>
      </c>
      <c r="B72" t="s">
        <v>67</v>
      </c>
      <c r="C72" t="s">
        <v>37</v>
      </c>
      <c r="D72" t="s">
        <v>67</v>
      </c>
      <c r="E72">
        <v>-13.213745783332801</v>
      </c>
      <c r="F72">
        <v>-5.3515418490819</v>
      </c>
      <c r="G72">
        <v>7.86220393425093</v>
      </c>
      <c r="H72">
        <v>11</v>
      </c>
      <c r="I72">
        <v>3</v>
      </c>
      <c r="J72">
        <v>8</v>
      </c>
      <c r="K72">
        <v>0.27272727272727199</v>
      </c>
      <c r="L72">
        <v>21.181077645091499</v>
      </c>
      <c r="M72">
        <v>10.7663097470867</v>
      </c>
      <c r="N72">
        <v>10.414767898004801</v>
      </c>
      <c r="O72">
        <v>0.50829848827742097</v>
      </c>
      <c r="P72">
        <v>-7.7663097470867104</v>
      </c>
      <c r="Q72">
        <v>-2.41476789800481</v>
      </c>
      <c r="R72">
        <v>3</v>
      </c>
      <c r="S72">
        <v>1</v>
      </c>
      <c r="T72">
        <v>2.0172454900087101E-2</v>
      </c>
      <c r="U72">
        <v>-9.6962644238966795E-3</v>
      </c>
      <c r="V72">
        <v>25</v>
      </c>
      <c r="W72">
        <v>16</v>
      </c>
      <c r="X72">
        <v>9</v>
      </c>
      <c r="Y72">
        <v>0.64</v>
      </c>
      <c r="Z72">
        <v>22.965137965426699</v>
      </c>
      <c r="AA72">
        <v>11.0514670155878</v>
      </c>
      <c r="AB72">
        <v>11.913670949838799</v>
      </c>
      <c r="AC72">
        <v>0.48122798270254302</v>
      </c>
      <c r="AD72">
        <v>4.9485329844121102</v>
      </c>
      <c r="AE72">
        <v>-2.9136709498388198</v>
      </c>
      <c r="AF72">
        <v>4</v>
      </c>
      <c r="AG72">
        <v>1</v>
      </c>
      <c r="AH72">
        <v>4.8044221684993102E-2</v>
      </c>
      <c r="AI72">
        <v>4.2570335451324196E-3</v>
      </c>
      <c r="AJ72">
        <v>57</v>
      </c>
      <c r="AK72">
        <v>7</v>
      </c>
      <c r="AL72">
        <f t="shared" si="2"/>
        <v>0.63636363636363635</v>
      </c>
      <c r="AM72">
        <f t="shared" si="3"/>
        <v>0.12280701754385964</v>
      </c>
    </row>
    <row r="73" spans="1:39" x14ac:dyDescent="0.2">
      <c r="A73" t="s">
        <v>137</v>
      </c>
      <c r="B73" t="s">
        <v>69</v>
      </c>
      <c r="C73" t="s">
        <v>37</v>
      </c>
      <c r="D73" t="s">
        <v>69</v>
      </c>
      <c r="E73">
        <v>-4.7497843989419302</v>
      </c>
      <c r="F73">
        <v>-5.9879352142874103</v>
      </c>
      <c r="G73">
        <v>-1.2381508153454699</v>
      </c>
      <c r="H73">
        <v>15</v>
      </c>
      <c r="I73">
        <v>5</v>
      </c>
      <c r="J73">
        <v>10</v>
      </c>
      <c r="K73">
        <v>0.33333333333333298</v>
      </c>
      <c r="L73">
        <v>18.673804747423301</v>
      </c>
      <c r="M73">
        <v>9.8308699808553701</v>
      </c>
      <c r="N73">
        <v>8.8429347665679501</v>
      </c>
      <c r="O73">
        <v>0.526452435046042</v>
      </c>
      <c r="P73">
        <v>-4.8308699808553701</v>
      </c>
      <c r="Q73">
        <v>1.1570652334320399</v>
      </c>
      <c r="R73">
        <v>3</v>
      </c>
      <c r="S73">
        <v>1</v>
      </c>
      <c r="T73">
        <v>2.1713726450492198E-2</v>
      </c>
      <c r="U73">
        <v>-4.2718659853759697E-3</v>
      </c>
      <c r="V73">
        <v>14</v>
      </c>
      <c r="W73">
        <v>5</v>
      </c>
      <c r="X73">
        <v>9</v>
      </c>
      <c r="Y73">
        <v>0.35714285714285698</v>
      </c>
      <c r="Z73">
        <v>14.1145959457159</v>
      </c>
      <c r="AA73">
        <v>5.6763733805307099</v>
      </c>
      <c r="AB73">
        <v>8.4382225651852298</v>
      </c>
      <c r="AC73">
        <v>0.40216336353954202</v>
      </c>
      <c r="AD73">
        <v>-0.67637338053070895</v>
      </c>
      <c r="AE73">
        <v>0.56177743481476705</v>
      </c>
      <c r="AF73">
        <v>1</v>
      </c>
      <c r="AG73">
        <v>1</v>
      </c>
      <c r="AH73">
        <v>4.0793629900913099E-2</v>
      </c>
      <c r="AI73">
        <v>-3.3120215524838799E-4</v>
      </c>
      <c r="AJ73">
        <v>55</v>
      </c>
      <c r="AK73">
        <v>6</v>
      </c>
      <c r="AL73">
        <f t="shared" si="2"/>
        <v>0.4</v>
      </c>
      <c r="AM73">
        <f t="shared" si="3"/>
        <v>0.10909090909090909</v>
      </c>
    </row>
    <row r="74" spans="1:39" x14ac:dyDescent="0.2">
      <c r="A74" t="s">
        <v>138</v>
      </c>
      <c r="B74" t="s">
        <v>102</v>
      </c>
      <c r="C74" t="s">
        <v>37</v>
      </c>
      <c r="D74" t="s">
        <v>102</v>
      </c>
      <c r="E74">
        <v>-15.6278663352414</v>
      </c>
      <c r="F74">
        <v>-9.0290473288788693</v>
      </c>
      <c r="G74">
        <v>6.5988190063626204</v>
      </c>
      <c r="H74">
        <v>38</v>
      </c>
      <c r="I74">
        <v>16</v>
      </c>
      <c r="J74">
        <v>22</v>
      </c>
      <c r="K74">
        <v>0.42105263157894701</v>
      </c>
      <c r="L74">
        <v>23.7543460328252</v>
      </c>
      <c r="M74">
        <v>13.391696680852</v>
      </c>
      <c r="N74">
        <v>10.362649351973101</v>
      </c>
      <c r="O74">
        <v>0.56375775036477804</v>
      </c>
      <c r="P74">
        <v>2.6083033191479501</v>
      </c>
      <c r="Q74">
        <v>11.6373506480268</v>
      </c>
      <c r="R74">
        <v>4</v>
      </c>
      <c r="S74">
        <v>3</v>
      </c>
      <c r="T74">
        <v>2.3970076723335201E-2</v>
      </c>
      <c r="U74">
        <v>1.4375029230246901E-2</v>
      </c>
      <c r="V74">
        <v>19</v>
      </c>
      <c r="W74">
        <v>9</v>
      </c>
      <c r="X74">
        <v>10</v>
      </c>
      <c r="Y74">
        <v>0.47368421052631499</v>
      </c>
      <c r="Z74">
        <v>20.777169272475799</v>
      </c>
      <c r="AA74">
        <v>6.5891751330566004</v>
      </c>
      <c r="AB74">
        <v>14.1879941394192</v>
      </c>
      <c r="AC74">
        <v>0.31713536366022099</v>
      </c>
      <c r="AD74">
        <v>2.4108248669433898</v>
      </c>
      <c r="AE74">
        <v>-4.1879941394192199</v>
      </c>
      <c r="AF74">
        <v>2</v>
      </c>
      <c r="AG74">
        <v>1</v>
      </c>
      <c r="AH74">
        <v>4.1637613772496598E-2</v>
      </c>
      <c r="AI74">
        <v>-3.5614614678874299E-3</v>
      </c>
      <c r="AJ74">
        <v>68</v>
      </c>
      <c r="AK74">
        <v>22</v>
      </c>
      <c r="AL74">
        <f t="shared" si="2"/>
        <v>0.57894736842105265</v>
      </c>
      <c r="AM74">
        <f t="shared" si="3"/>
        <v>0.3235294117647059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abs-challenges-2026-catcher-2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Burman</dc:creator>
  <cp:lastModifiedBy>Anthony Burman</cp:lastModifiedBy>
  <dcterms:created xsi:type="dcterms:W3CDTF">2026-05-02T22:09:43Z</dcterms:created>
  <dcterms:modified xsi:type="dcterms:W3CDTF">2026-05-02T22:16:07Z</dcterms:modified>
</cp:coreProperties>
</file>