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burman/Documents/baseball_projects/abs-investigation/"/>
    </mc:Choice>
  </mc:AlternateContent>
  <xr:revisionPtr revIDLastSave="0" documentId="13_ncr:9_{F4F59D27-3E27-E343-B6EA-59C9A641EAEA}" xr6:coauthVersionLast="47" xr6:coauthVersionMax="47" xr10:uidLastSave="{00000000-0000-0000-0000-000000000000}"/>
  <bookViews>
    <workbookView xWindow="1100" yWindow="820" windowWidth="28040" windowHeight="17220" xr2:uid="{DA728889-8144-BD4C-875D-47E885D99FEB}"/>
  </bookViews>
  <sheets>
    <sheet name="abs-challenges-2026-catc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M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78" i="1"/>
  <c r="AM78" i="1"/>
  <c r="AM2" i="1"/>
  <c r="AL2" i="1"/>
</calcChain>
</file>

<file path=xl/sharedStrings.xml><?xml version="1.0" encoding="utf-8"?>
<sst xmlns="http://schemas.openxmlformats.org/spreadsheetml/2006/main" count="347" uniqueCount="147">
  <si>
    <t>entity_name</t>
  </si>
  <si>
    <t>team_abbr</t>
  </si>
  <si>
    <t>level</t>
  </si>
  <si>
    <t>parent_org</t>
  </si>
  <si>
    <t>total_vs_expected</t>
  </si>
  <si>
    <t>net_for</t>
  </si>
  <si>
    <t>net_against</t>
  </si>
  <si>
    <t>n_challenges</t>
  </si>
  <si>
    <t>n_overturns</t>
  </si>
  <si>
    <t>n_confirms</t>
  </si>
  <si>
    <t>rate_overturns</t>
  </si>
  <si>
    <t>exp_chal</t>
  </si>
  <si>
    <t>exp_chal_gained</t>
  </si>
  <si>
    <t>exp_chal_lost</t>
  </si>
  <si>
    <t>exp_rate_overturns</t>
  </si>
  <si>
    <t>net_chal_gained</t>
  </si>
  <si>
    <t>net_chal_lost</t>
  </si>
  <si>
    <t>n_strikeouts_flip</t>
  </si>
  <si>
    <t>n_walks_flip</t>
  </si>
  <si>
    <t>exp_rate_challenges</t>
  </si>
  <si>
    <t>exp_rate_challenges_diff</t>
  </si>
  <si>
    <t>n_challenges_against</t>
  </si>
  <si>
    <t>n_overturns_against</t>
  </si>
  <si>
    <t>n_confirms_against</t>
  </si>
  <si>
    <t>rate_overturns_against</t>
  </si>
  <si>
    <t>exp_chal_against</t>
  </si>
  <si>
    <t>exp_chal_gained_against</t>
  </si>
  <si>
    <t>exp_chal_lost_against</t>
  </si>
  <si>
    <t>exp_rate_overturns_against</t>
  </si>
  <si>
    <t>net_chal_gained_against</t>
  </si>
  <si>
    <t>net_chal_lost_against</t>
  </si>
  <si>
    <t>n_strikeouts_flip_against</t>
  </si>
  <si>
    <t>n_walks_flip_against</t>
  </si>
  <si>
    <t>exp_rate_challenges_against</t>
  </si>
  <si>
    <t>exp_rate_challenges_diff_against</t>
  </si>
  <si>
    <t>rsn_opp</t>
  </si>
  <si>
    <t>rsn_chal</t>
  </si>
  <si>
    <t>perc_chal_rsn</t>
  </si>
  <si>
    <t>perc_rsn_taken</t>
  </si>
  <si>
    <t>Dillon Dingler</t>
  </si>
  <si>
    <t>DET</t>
  </si>
  <si>
    <t>MLB</t>
  </si>
  <si>
    <t>Hunter Goodman</t>
  </si>
  <si>
    <t>COL</t>
  </si>
  <si>
    <t>Tyler Stephenson</t>
  </si>
  <si>
    <t>CIN</t>
  </si>
  <si>
    <t>Salvador Perez</t>
  </si>
  <si>
    <t>KC</t>
  </si>
  <si>
    <t>Agustin Ramirez</t>
  </si>
  <si>
    <t>MIA</t>
  </si>
  <si>
    <t>Carson Kelly</t>
  </si>
  <si>
    <t>CHC</t>
  </si>
  <si>
    <t>Will Smith</t>
  </si>
  <si>
    <t>LAD</t>
  </si>
  <si>
    <t>Victor Caratini</t>
  </si>
  <si>
    <t>MIN</t>
  </si>
  <si>
    <t>Ivan Herrera</t>
  </si>
  <si>
    <t>STL</t>
  </si>
  <si>
    <t>Austin Wells</t>
  </si>
  <si>
    <t>NYY</t>
  </si>
  <si>
    <t>Drake Baldwin</t>
  </si>
  <si>
    <t>ATL</t>
  </si>
  <si>
    <t>Mitch Garver</t>
  </si>
  <si>
    <t>SEA</t>
  </si>
  <si>
    <t>Pedro Pages</t>
  </si>
  <si>
    <t>Logan O'Hoppe</t>
  </si>
  <si>
    <t>LAA</t>
  </si>
  <si>
    <t>Cal Raleigh</t>
  </si>
  <si>
    <t>Patrick Bailey</t>
  </si>
  <si>
    <t>SF</t>
  </si>
  <si>
    <t>Adley Rutschman</t>
  </si>
  <si>
    <t>BAL</t>
  </si>
  <si>
    <t>Luis Campusano</t>
  </si>
  <si>
    <t>SD</t>
  </si>
  <si>
    <t>Yainer Diaz</t>
  </si>
  <si>
    <t>HOU</t>
  </si>
  <si>
    <t>Ryan Jeffers</t>
  </si>
  <si>
    <t>J.T. Realmuto</t>
  </si>
  <si>
    <t>PHI</t>
  </si>
  <si>
    <t>Travis d'Arnaud</t>
  </si>
  <si>
    <t>Connor Wong</t>
  </si>
  <si>
    <t>BOS</t>
  </si>
  <si>
    <t>James McCann</t>
  </si>
  <si>
    <t>AZ</t>
  </si>
  <si>
    <t>Miguel Amaya</t>
  </si>
  <si>
    <t>Austin Hedges</t>
  </si>
  <si>
    <t>CLE</t>
  </si>
  <si>
    <t>P.J. Higgins</t>
  </si>
  <si>
    <t>Adrian Del Castillo</t>
  </si>
  <si>
    <t>Danny Jansen</t>
  </si>
  <si>
    <t>TEX</t>
  </si>
  <si>
    <t>Jake Rogers</t>
  </si>
  <si>
    <t>William Contreras</t>
  </si>
  <si>
    <t>MIL</t>
  </si>
  <si>
    <t>Sebastian Rivero</t>
  </si>
  <si>
    <t>Freddy Fermin</t>
  </si>
  <si>
    <t>Gary Sanchez</t>
  </si>
  <si>
    <t>Jonah Heim</t>
  </si>
  <si>
    <t>Brandon Valenzuela</t>
  </si>
  <si>
    <t>TOR</t>
  </si>
  <si>
    <t>Liam Hicks</t>
  </si>
  <si>
    <t>Hunter Feduccia</t>
  </si>
  <si>
    <t>TB</t>
  </si>
  <si>
    <t>Tyler Heineman</t>
  </si>
  <si>
    <t>Jesus Rodriguez</t>
  </si>
  <si>
    <t>Bo Naylor</t>
  </si>
  <si>
    <t>Reese McGuire</t>
  </si>
  <si>
    <t>CWS</t>
  </si>
  <si>
    <t>J.C. Escarra</t>
  </si>
  <si>
    <t>Alejandro Kirk</t>
  </si>
  <si>
    <t>Jeferson Quero</t>
  </si>
  <si>
    <t>Gabriel Moreno</t>
  </si>
  <si>
    <t>Sean Murphy</t>
  </si>
  <si>
    <t>Kyle Higashioka</t>
  </si>
  <si>
    <t>Henry Davis</t>
  </si>
  <si>
    <t>PIT</t>
  </si>
  <si>
    <t>Sam Huff</t>
  </si>
  <si>
    <t>Daniel Susac</t>
  </si>
  <si>
    <t>Luis Torrens</t>
  </si>
  <si>
    <t>NYM</t>
  </si>
  <si>
    <t>Drew Millas</t>
  </si>
  <si>
    <t>WSH</t>
  </si>
  <si>
    <t>Yohel Pozo</t>
  </si>
  <si>
    <t>Joey Bart</t>
  </si>
  <si>
    <t>Rafael Marchan</t>
  </si>
  <si>
    <t>Moises Ballesteros</t>
  </si>
  <si>
    <t>Garrett Stubbs</t>
  </si>
  <si>
    <t>Christian Vazquez</t>
  </si>
  <si>
    <t>Keibert Ruiz</t>
  </si>
  <si>
    <t>Brett Sullivan</t>
  </si>
  <si>
    <t>Nick Fortes</t>
  </si>
  <si>
    <t>David Fry</t>
  </si>
  <si>
    <t>Jose Trevino</t>
  </si>
  <si>
    <t>Eric Haase</t>
  </si>
  <si>
    <t>Austin Wynns</t>
  </si>
  <si>
    <t>ATH</t>
  </si>
  <si>
    <t>Shea Langeliers</t>
  </si>
  <si>
    <t>Joe Mack</t>
  </si>
  <si>
    <t>Elias Diaz</t>
  </si>
  <si>
    <t>Jhonny Pereda</t>
  </si>
  <si>
    <t>Francisco Alvarez</t>
  </si>
  <si>
    <t>Carter Jensen</t>
  </si>
  <si>
    <t>Drew Romo</t>
  </si>
  <si>
    <t>Dalton Rushing</t>
  </si>
  <si>
    <t>Carlos Narvaez</t>
  </si>
  <si>
    <t>Samuel Basallo</t>
  </si>
  <si>
    <t>Edgar 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</si>
</sst>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D910-F3EE-E841-BC93-E7BF604F5132}">
  <dimension ref="A1:AM78"/>
  <sheetViews>
    <sheetView tabSelected="1" workbookViewId="0">
      <selection activeCell="AL2" sqref="AL2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 t="s">
        <v>40</v>
      </c>
      <c r="E2">
        <v>15.195268009999999</v>
      </c>
      <c r="F2">
        <v>17.944622219999999</v>
      </c>
      <c r="G2">
        <v>2.7493542089999998</v>
      </c>
      <c r="H2">
        <v>22</v>
      </c>
      <c r="I2">
        <v>19</v>
      </c>
      <c r="J2">
        <v>3</v>
      </c>
      <c r="K2">
        <v>0.86363636399999999</v>
      </c>
      <c r="L2">
        <v>33.157256369999999</v>
      </c>
      <c r="M2">
        <v>15.606317069999999</v>
      </c>
      <c r="N2">
        <v>17.5509393</v>
      </c>
      <c r="O2">
        <v>0.47067576700000002</v>
      </c>
      <c r="P2">
        <v>3.393682927</v>
      </c>
      <c r="Q2">
        <v>-14.5509393</v>
      </c>
      <c r="R2">
        <v>4</v>
      </c>
      <c r="S2">
        <v>0</v>
      </c>
      <c r="T2">
        <v>2.3300952999999999E-2</v>
      </c>
      <c r="U2">
        <v>-7.8406580000000003E-3</v>
      </c>
      <c r="V2">
        <v>24</v>
      </c>
      <c r="W2">
        <v>11</v>
      </c>
      <c r="X2">
        <v>13</v>
      </c>
      <c r="Y2">
        <v>0.45833333300000001</v>
      </c>
      <c r="Z2">
        <v>30.65338757</v>
      </c>
      <c r="AA2">
        <v>12.95201668</v>
      </c>
      <c r="AB2">
        <v>17.70137089</v>
      </c>
      <c r="AC2">
        <v>0.42253133199999998</v>
      </c>
      <c r="AD2">
        <v>-1.952016682</v>
      </c>
      <c r="AE2">
        <v>-4.7013708909999998</v>
      </c>
      <c r="AF2">
        <v>3</v>
      </c>
      <c r="AG2">
        <v>6</v>
      </c>
      <c r="AH2">
        <v>4.7231721999999997E-2</v>
      </c>
      <c r="AI2">
        <v>-1.0251753000000001E-2</v>
      </c>
      <c r="AJ2">
        <v>108</v>
      </c>
      <c r="AK2">
        <v>19</v>
      </c>
      <c r="AL2">
        <f>AK2/H2</f>
        <v>0.86363636363636365</v>
      </c>
      <c r="AM2">
        <f>AK2/AJ2</f>
        <v>0.17592592592592593</v>
      </c>
    </row>
    <row r="3" spans="1:39" x14ac:dyDescent="0.2">
      <c r="A3" t="s">
        <v>42</v>
      </c>
      <c r="B3" t="s">
        <v>43</v>
      </c>
      <c r="C3" t="s">
        <v>41</v>
      </c>
      <c r="D3" t="s">
        <v>43</v>
      </c>
      <c r="E3">
        <v>6.6527135370000003</v>
      </c>
      <c r="F3">
        <v>13.62224097</v>
      </c>
      <c r="G3">
        <v>6.969527437</v>
      </c>
      <c r="H3">
        <v>28</v>
      </c>
      <c r="I3">
        <v>20</v>
      </c>
      <c r="J3">
        <v>8</v>
      </c>
      <c r="K3">
        <v>0.71428571399999996</v>
      </c>
      <c r="L3">
        <v>24.545878179999999</v>
      </c>
      <c r="M3">
        <v>11.461818600000001</v>
      </c>
      <c r="N3">
        <v>13.08405958</v>
      </c>
      <c r="O3">
        <v>0.46695492100000002</v>
      </c>
      <c r="P3">
        <v>8.5381813960000006</v>
      </c>
      <c r="Q3">
        <v>-5.0840595779999997</v>
      </c>
      <c r="R3">
        <v>7</v>
      </c>
      <c r="S3">
        <v>3</v>
      </c>
      <c r="T3">
        <v>2.0004791000000001E-2</v>
      </c>
      <c r="U3">
        <v>2.8150950000000001E-3</v>
      </c>
      <c r="V3">
        <v>19</v>
      </c>
      <c r="W3">
        <v>11</v>
      </c>
      <c r="X3">
        <v>8</v>
      </c>
      <c r="Y3">
        <v>0.57894736800000002</v>
      </c>
      <c r="Z3">
        <v>19.268803999999999</v>
      </c>
      <c r="AA3">
        <v>7.6496382799999996</v>
      </c>
      <c r="AB3">
        <v>11.61916572</v>
      </c>
      <c r="AC3">
        <v>0.39699600899999998</v>
      </c>
      <c r="AD3">
        <v>3.35036172</v>
      </c>
      <c r="AE3">
        <v>-3.6191657180000001</v>
      </c>
      <c r="AF3">
        <v>1</v>
      </c>
      <c r="AG3">
        <v>1</v>
      </c>
      <c r="AH3">
        <v>3.8770229000000003E-2</v>
      </c>
      <c r="AI3">
        <v>-5.4085299999999999E-4</v>
      </c>
      <c r="AJ3">
        <v>67</v>
      </c>
      <c r="AK3">
        <v>24</v>
      </c>
      <c r="AL3">
        <f t="shared" ref="AL3:AL66" si="0">AK3/H3</f>
        <v>0.8571428571428571</v>
      </c>
      <c r="AM3">
        <f t="shared" ref="AM3:AM66" si="1">AK3/AJ3</f>
        <v>0.35820895522388058</v>
      </c>
    </row>
    <row r="4" spans="1:39" x14ac:dyDescent="0.2">
      <c r="A4" t="s">
        <v>44</v>
      </c>
      <c r="B4" t="s">
        <v>45</v>
      </c>
      <c r="C4" t="s">
        <v>41</v>
      </c>
      <c r="D4" t="s">
        <v>45</v>
      </c>
      <c r="E4">
        <v>10.812089459999999</v>
      </c>
      <c r="F4">
        <v>12.162233580000001</v>
      </c>
      <c r="G4">
        <v>1.3501441199999999</v>
      </c>
      <c r="H4">
        <v>25</v>
      </c>
      <c r="I4">
        <v>19</v>
      </c>
      <c r="J4">
        <v>6</v>
      </c>
      <c r="K4">
        <v>0.76</v>
      </c>
      <c r="L4">
        <v>43.857329</v>
      </c>
      <c r="M4">
        <v>22.347547710000001</v>
      </c>
      <c r="N4">
        <v>21.509781289999999</v>
      </c>
      <c r="O4">
        <v>0.50955104200000001</v>
      </c>
      <c r="P4">
        <v>-3.3475477069999999</v>
      </c>
      <c r="Q4">
        <v>-15.509781289999999</v>
      </c>
      <c r="R4">
        <v>5</v>
      </c>
      <c r="S4">
        <v>1</v>
      </c>
      <c r="T4">
        <v>2.6628615000000001E-2</v>
      </c>
      <c r="U4">
        <v>-1.1449502E-2</v>
      </c>
      <c r="V4">
        <v>26</v>
      </c>
      <c r="W4">
        <v>11</v>
      </c>
      <c r="X4">
        <v>15</v>
      </c>
      <c r="Y4">
        <v>0.42307692299999999</v>
      </c>
      <c r="Z4">
        <v>24.737529930000001</v>
      </c>
      <c r="AA4">
        <v>9.6936929060000008</v>
      </c>
      <c r="AB4">
        <v>15.043837030000001</v>
      </c>
      <c r="AC4">
        <v>0.39186179599999998</v>
      </c>
      <c r="AD4">
        <v>1.3063070939999999</v>
      </c>
      <c r="AE4">
        <v>-4.3837026000000001E-2</v>
      </c>
      <c r="AF4">
        <v>4</v>
      </c>
      <c r="AG4">
        <v>3</v>
      </c>
      <c r="AH4">
        <v>3.6113182000000001E-2</v>
      </c>
      <c r="AI4">
        <v>1.8430219999999999E-3</v>
      </c>
      <c r="AJ4">
        <v>134</v>
      </c>
      <c r="AK4">
        <v>22</v>
      </c>
      <c r="AL4">
        <f t="shared" si="0"/>
        <v>0.88</v>
      </c>
      <c r="AM4">
        <f t="shared" si="1"/>
        <v>0.16417910447761194</v>
      </c>
    </row>
    <row r="5" spans="1:39" x14ac:dyDescent="0.2">
      <c r="A5" t="s">
        <v>46</v>
      </c>
      <c r="B5" t="s">
        <v>47</v>
      </c>
      <c r="C5" t="s">
        <v>41</v>
      </c>
      <c r="D5" t="s">
        <v>47</v>
      </c>
      <c r="E5">
        <v>11.57170399</v>
      </c>
      <c r="F5">
        <v>11.853543180000001</v>
      </c>
      <c r="G5">
        <v>0.28183918600000002</v>
      </c>
      <c r="H5">
        <v>27</v>
      </c>
      <c r="I5">
        <v>20</v>
      </c>
      <c r="J5">
        <v>7</v>
      </c>
      <c r="K5">
        <v>0.74074074099999998</v>
      </c>
      <c r="L5">
        <v>22.964546389999999</v>
      </c>
      <c r="M5">
        <v>12.05550161</v>
      </c>
      <c r="N5">
        <v>10.90904478</v>
      </c>
      <c r="O5">
        <v>0.524961452</v>
      </c>
      <c r="P5">
        <v>7.9444983929999999</v>
      </c>
      <c r="Q5">
        <v>-3.9090447820000001</v>
      </c>
      <c r="R5">
        <v>2</v>
      </c>
      <c r="S5">
        <v>4</v>
      </c>
      <c r="T5">
        <v>2.4561012E-2</v>
      </c>
      <c r="U5">
        <v>4.3159929999999997E-3</v>
      </c>
      <c r="V5">
        <v>25</v>
      </c>
      <c r="W5">
        <v>10</v>
      </c>
      <c r="X5">
        <v>15</v>
      </c>
      <c r="Y5">
        <v>0.4</v>
      </c>
      <c r="Z5">
        <v>14.15897844</v>
      </c>
      <c r="AA5">
        <v>4.4385696269999997</v>
      </c>
      <c r="AB5">
        <v>9.7204088130000006</v>
      </c>
      <c r="AC5">
        <v>0.31348092300000002</v>
      </c>
      <c r="AD5">
        <v>5.5614303730000003</v>
      </c>
      <c r="AE5">
        <v>5.2795911870000003</v>
      </c>
      <c r="AF5">
        <v>4</v>
      </c>
      <c r="AG5">
        <v>2</v>
      </c>
      <c r="AH5">
        <v>4.0224371000000002E-2</v>
      </c>
      <c r="AI5">
        <v>3.0798356999999998E-2</v>
      </c>
      <c r="AJ5">
        <v>74</v>
      </c>
      <c r="AK5">
        <v>22</v>
      </c>
      <c r="AL5">
        <f t="shared" si="0"/>
        <v>0.81481481481481477</v>
      </c>
      <c r="AM5">
        <f t="shared" si="1"/>
        <v>0.29729729729729731</v>
      </c>
    </row>
    <row r="6" spans="1:39" x14ac:dyDescent="0.2">
      <c r="A6" t="s">
        <v>48</v>
      </c>
      <c r="B6" t="s">
        <v>49</v>
      </c>
      <c r="C6" t="s">
        <v>41</v>
      </c>
      <c r="D6" t="s">
        <v>49</v>
      </c>
      <c r="E6">
        <v>12.09130264</v>
      </c>
      <c r="F6">
        <v>10.99207365</v>
      </c>
      <c r="G6">
        <v>-1.0992289879999999</v>
      </c>
      <c r="H6">
        <v>31</v>
      </c>
      <c r="I6">
        <v>22</v>
      </c>
      <c r="J6">
        <v>9</v>
      </c>
      <c r="K6">
        <v>0.70967741900000003</v>
      </c>
      <c r="L6">
        <v>19.272359160000001</v>
      </c>
      <c r="M6">
        <v>10.640142750000001</v>
      </c>
      <c r="N6">
        <v>8.6322164069999996</v>
      </c>
      <c r="O6">
        <v>0.55209342400000005</v>
      </c>
      <c r="P6">
        <v>11.359857249999999</v>
      </c>
      <c r="Q6">
        <v>0.36778359300000002</v>
      </c>
      <c r="R6">
        <v>2</v>
      </c>
      <c r="S6">
        <v>2</v>
      </c>
      <c r="T6">
        <v>2.2461957000000001E-2</v>
      </c>
      <c r="U6">
        <v>1.3668579E-2</v>
      </c>
      <c r="V6">
        <v>14</v>
      </c>
      <c r="W6">
        <v>5</v>
      </c>
      <c r="X6">
        <v>9</v>
      </c>
      <c r="Y6">
        <v>0.35714285699999998</v>
      </c>
      <c r="Z6">
        <v>12.864756760000001</v>
      </c>
      <c r="AA6">
        <v>4.9819928750000004</v>
      </c>
      <c r="AB6">
        <v>7.8827638860000002</v>
      </c>
      <c r="AC6">
        <v>0.38725900299999999</v>
      </c>
      <c r="AD6">
        <v>1.8007124999999999E-2</v>
      </c>
      <c r="AE6">
        <v>1.117236114</v>
      </c>
      <c r="AF6">
        <v>2</v>
      </c>
      <c r="AG6">
        <v>0</v>
      </c>
      <c r="AH6">
        <v>3.5538001999999999E-2</v>
      </c>
      <c r="AI6">
        <v>3.1360310000000001E-3</v>
      </c>
      <c r="AJ6">
        <v>59</v>
      </c>
      <c r="AK6">
        <v>23</v>
      </c>
      <c r="AL6">
        <f t="shared" si="0"/>
        <v>0.74193548387096775</v>
      </c>
      <c r="AM6">
        <f t="shared" si="1"/>
        <v>0.38983050847457629</v>
      </c>
    </row>
    <row r="7" spans="1:39" x14ac:dyDescent="0.2">
      <c r="A7" t="s">
        <v>50</v>
      </c>
      <c r="B7" t="s">
        <v>51</v>
      </c>
      <c r="C7" t="s">
        <v>41</v>
      </c>
      <c r="D7" t="s">
        <v>51</v>
      </c>
      <c r="E7">
        <v>9.2246990279999999</v>
      </c>
      <c r="F7">
        <v>10.92537014</v>
      </c>
      <c r="G7">
        <v>1.7006711109999999</v>
      </c>
      <c r="H7">
        <v>19</v>
      </c>
      <c r="I7">
        <v>17</v>
      </c>
      <c r="J7">
        <v>2</v>
      </c>
      <c r="K7">
        <v>0.89473684200000003</v>
      </c>
      <c r="L7">
        <v>28.99676758</v>
      </c>
      <c r="M7">
        <v>16.535698719999999</v>
      </c>
      <c r="N7">
        <v>12.461068859999999</v>
      </c>
      <c r="O7">
        <v>0.57026007000000001</v>
      </c>
      <c r="P7">
        <v>0.46430127799999998</v>
      </c>
      <c r="Q7">
        <v>-10.461068859999999</v>
      </c>
      <c r="R7">
        <v>8</v>
      </c>
      <c r="S7">
        <v>3</v>
      </c>
      <c r="T7">
        <v>2.4678100000000001E-2</v>
      </c>
      <c r="U7">
        <v>-8.5078870000000004E-3</v>
      </c>
      <c r="V7">
        <v>25</v>
      </c>
      <c r="W7">
        <v>11</v>
      </c>
      <c r="X7">
        <v>14</v>
      </c>
      <c r="Y7">
        <v>0.44</v>
      </c>
      <c r="Z7">
        <v>19.229869570000002</v>
      </c>
      <c r="AA7">
        <v>7.2645992279999998</v>
      </c>
      <c r="AB7">
        <v>11.96527034</v>
      </c>
      <c r="AC7">
        <v>0.37777683299999998</v>
      </c>
      <c r="AD7">
        <v>3.7354007720000002</v>
      </c>
      <c r="AE7">
        <v>2.0347296610000001</v>
      </c>
      <c r="AF7">
        <v>4</v>
      </c>
      <c r="AG7">
        <v>2</v>
      </c>
      <c r="AH7">
        <v>3.807895E-2</v>
      </c>
      <c r="AI7">
        <v>1.1426001E-2</v>
      </c>
      <c r="AJ7">
        <v>80</v>
      </c>
      <c r="AK7">
        <v>17</v>
      </c>
      <c r="AL7">
        <f t="shared" si="0"/>
        <v>0.89473684210526316</v>
      </c>
      <c r="AM7">
        <f t="shared" si="1"/>
        <v>0.21249999999999999</v>
      </c>
    </row>
    <row r="8" spans="1:39" x14ac:dyDescent="0.2">
      <c r="A8" t="s">
        <v>52</v>
      </c>
      <c r="B8" t="s">
        <v>53</v>
      </c>
      <c r="C8" t="s">
        <v>41</v>
      </c>
      <c r="D8" t="s">
        <v>53</v>
      </c>
      <c r="E8">
        <v>4.0421866570000002</v>
      </c>
      <c r="F8">
        <v>9.8349874509999999</v>
      </c>
      <c r="G8">
        <v>5.7928007939999997</v>
      </c>
      <c r="H8">
        <v>34</v>
      </c>
      <c r="I8">
        <v>25</v>
      </c>
      <c r="J8">
        <v>9</v>
      </c>
      <c r="K8">
        <v>0.735294118</v>
      </c>
      <c r="L8">
        <v>32.499037280000003</v>
      </c>
      <c r="M8">
        <v>19.332024919999999</v>
      </c>
      <c r="N8">
        <v>13.16701237</v>
      </c>
      <c r="O8">
        <v>0.59484915699999996</v>
      </c>
      <c r="P8">
        <v>5.6679750840000001</v>
      </c>
      <c r="Q8">
        <v>-4.1670123659999998</v>
      </c>
      <c r="R8">
        <v>6</v>
      </c>
      <c r="S8">
        <v>2</v>
      </c>
      <c r="T8">
        <v>2.4980044E-2</v>
      </c>
      <c r="U8">
        <v>1.153699E-3</v>
      </c>
      <c r="V8">
        <v>16</v>
      </c>
      <c r="W8">
        <v>7</v>
      </c>
      <c r="X8">
        <v>9</v>
      </c>
      <c r="Y8">
        <v>0.4375</v>
      </c>
      <c r="Z8">
        <v>22.881611549999999</v>
      </c>
      <c r="AA8">
        <v>7.5444053760000003</v>
      </c>
      <c r="AB8">
        <v>15.33720617</v>
      </c>
      <c r="AC8">
        <v>0.32971477399999999</v>
      </c>
      <c r="AD8">
        <v>-0.54440537600000005</v>
      </c>
      <c r="AE8">
        <v>-6.3372061689999999</v>
      </c>
      <c r="AF8">
        <v>4</v>
      </c>
      <c r="AG8">
        <v>0</v>
      </c>
      <c r="AH8">
        <v>4.0143178000000002E-2</v>
      </c>
      <c r="AI8">
        <v>-1.2073003000000001E-2</v>
      </c>
      <c r="AJ8">
        <v>91</v>
      </c>
      <c r="AK8">
        <v>28</v>
      </c>
      <c r="AL8">
        <f t="shared" si="0"/>
        <v>0.82352941176470584</v>
      </c>
      <c r="AM8">
        <f t="shared" si="1"/>
        <v>0.30769230769230771</v>
      </c>
    </row>
    <row r="9" spans="1:39" x14ac:dyDescent="0.2">
      <c r="A9" t="s">
        <v>54</v>
      </c>
      <c r="B9" t="s">
        <v>55</v>
      </c>
      <c r="C9" t="s">
        <v>41</v>
      </c>
      <c r="D9" t="s">
        <v>55</v>
      </c>
      <c r="E9">
        <v>15.266656940000001</v>
      </c>
      <c r="F9">
        <v>8.9569138679999991</v>
      </c>
      <c r="G9">
        <v>-6.309743074</v>
      </c>
      <c r="H9">
        <v>20</v>
      </c>
      <c r="I9">
        <v>15</v>
      </c>
      <c r="J9">
        <v>5</v>
      </c>
      <c r="K9">
        <v>0.75</v>
      </c>
      <c r="L9">
        <v>14.1430028</v>
      </c>
      <c r="M9">
        <v>7.5930444670000004</v>
      </c>
      <c r="N9">
        <v>6.5499583350000004</v>
      </c>
      <c r="O9">
        <v>0.53687640299999995</v>
      </c>
      <c r="P9">
        <v>7.4069555329999996</v>
      </c>
      <c r="Q9">
        <v>-1.5499583349999999</v>
      </c>
      <c r="R9">
        <v>4</v>
      </c>
      <c r="S9">
        <v>1</v>
      </c>
      <c r="T9">
        <v>2.0890697999999999E-2</v>
      </c>
      <c r="U9">
        <v>8.6513990000000006E-3</v>
      </c>
      <c r="V9">
        <v>14</v>
      </c>
      <c r="W9">
        <v>5</v>
      </c>
      <c r="X9">
        <v>9</v>
      </c>
      <c r="Y9">
        <v>0.35714285699999998</v>
      </c>
      <c r="Z9">
        <v>16.297706999999999</v>
      </c>
      <c r="AA9">
        <v>9.3037250359999994</v>
      </c>
      <c r="AB9">
        <v>6.9939819620000003</v>
      </c>
      <c r="AC9">
        <v>0.57086098299999999</v>
      </c>
      <c r="AD9">
        <v>-4.3037250360000003</v>
      </c>
      <c r="AE9">
        <v>2.0060180380000001</v>
      </c>
      <c r="AF9">
        <v>1</v>
      </c>
      <c r="AG9">
        <v>0</v>
      </c>
      <c r="AH9">
        <v>4.9237784999999999E-2</v>
      </c>
      <c r="AI9">
        <v>-6.9417130000000004E-3</v>
      </c>
      <c r="AJ9">
        <v>46</v>
      </c>
      <c r="AK9">
        <v>16</v>
      </c>
      <c r="AL9">
        <f t="shared" si="0"/>
        <v>0.8</v>
      </c>
      <c r="AM9">
        <f t="shared" si="1"/>
        <v>0.34782608695652173</v>
      </c>
    </row>
    <row r="10" spans="1:39" x14ac:dyDescent="0.2">
      <c r="A10" t="s">
        <v>56</v>
      </c>
      <c r="B10" t="s">
        <v>57</v>
      </c>
      <c r="C10" t="s">
        <v>41</v>
      </c>
      <c r="D10" t="s">
        <v>57</v>
      </c>
      <c r="E10">
        <v>4.2803531719999999</v>
      </c>
      <c r="F10">
        <v>8.6943881259999998</v>
      </c>
      <c r="G10">
        <v>4.4140349539999999</v>
      </c>
      <c r="H10">
        <v>16</v>
      </c>
      <c r="I10">
        <v>12</v>
      </c>
      <c r="J10">
        <v>4</v>
      </c>
      <c r="K10">
        <v>0.75</v>
      </c>
      <c r="L10">
        <v>19.437920200000001</v>
      </c>
      <c r="M10">
        <v>9.3717660360000004</v>
      </c>
      <c r="N10">
        <v>10.06615416</v>
      </c>
      <c r="O10">
        <v>0.48213831200000001</v>
      </c>
      <c r="P10">
        <v>2.6282339640000001</v>
      </c>
      <c r="Q10">
        <v>-6.0661541620000001</v>
      </c>
      <c r="R10">
        <v>3</v>
      </c>
      <c r="S10">
        <v>3</v>
      </c>
      <c r="T10">
        <v>2.3618371999999999E-2</v>
      </c>
      <c r="U10">
        <v>-4.1773030000000003E-3</v>
      </c>
      <c r="V10">
        <v>9</v>
      </c>
      <c r="W10">
        <v>6</v>
      </c>
      <c r="X10">
        <v>3</v>
      </c>
      <c r="Y10">
        <v>0.66666666699999999</v>
      </c>
      <c r="Z10">
        <v>14.216265959999999</v>
      </c>
      <c r="AA10">
        <v>6.4011155049999999</v>
      </c>
      <c r="AB10">
        <v>7.8151504589999998</v>
      </c>
      <c r="AC10">
        <v>0.45026700600000003</v>
      </c>
      <c r="AD10">
        <v>-0.40111550499999998</v>
      </c>
      <c r="AE10">
        <v>-4.8151504589999998</v>
      </c>
      <c r="AF10">
        <v>3</v>
      </c>
      <c r="AG10">
        <v>0</v>
      </c>
      <c r="AH10">
        <v>4.1935887999999998E-2</v>
      </c>
      <c r="AI10">
        <v>-1.5387214999999999E-2</v>
      </c>
      <c r="AJ10">
        <v>51</v>
      </c>
      <c r="AK10">
        <v>12</v>
      </c>
      <c r="AL10">
        <f t="shared" si="0"/>
        <v>0.75</v>
      </c>
      <c r="AM10">
        <f t="shared" si="1"/>
        <v>0.23529411764705882</v>
      </c>
    </row>
    <row r="11" spans="1:39" x14ac:dyDescent="0.2">
      <c r="A11" t="s">
        <v>58</v>
      </c>
      <c r="B11" t="s">
        <v>59</v>
      </c>
      <c r="C11" t="s">
        <v>41</v>
      </c>
      <c r="D11" t="s">
        <v>59</v>
      </c>
      <c r="E11">
        <v>-5.8575955339999997</v>
      </c>
      <c r="F11">
        <v>8.4242333899999995</v>
      </c>
      <c r="G11">
        <v>14.281828920000001</v>
      </c>
      <c r="H11">
        <v>33</v>
      </c>
      <c r="I11">
        <v>20</v>
      </c>
      <c r="J11">
        <v>13</v>
      </c>
      <c r="K11">
        <v>0.606060606</v>
      </c>
      <c r="L11">
        <v>25.656539670000001</v>
      </c>
      <c r="M11">
        <v>12.11615314</v>
      </c>
      <c r="N11">
        <v>13.540386529999999</v>
      </c>
      <c r="O11">
        <v>0.47224424199999998</v>
      </c>
      <c r="P11">
        <v>7.8838468590000002</v>
      </c>
      <c r="Q11">
        <v>-0.540386531</v>
      </c>
      <c r="R11">
        <v>5</v>
      </c>
      <c r="S11">
        <v>1</v>
      </c>
      <c r="T11">
        <v>1.9690360000000001E-2</v>
      </c>
      <c r="U11">
        <v>5.6358099999999998E-3</v>
      </c>
      <c r="V11">
        <v>37</v>
      </c>
      <c r="W11">
        <v>24</v>
      </c>
      <c r="X11">
        <v>13</v>
      </c>
      <c r="Y11">
        <v>0.64864864899999997</v>
      </c>
      <c r="Z11">
        <v>31.278178350000001</v>
      </c>
      <c r="AA11">
        <v>13.998174710000001</v>
      </c>
      <c r="AB11">
        <v>17.28000364</v>
      </c>
      <c r="AC11">
        <v>0.447538043</v>
      </c>
      <c r="AD11">
        <v>10.001825289999999</v>
      </c>
      <c r="AE11">
        <v>-4.280003636</v>
      </c>
      <c r="AF11">
        <v>8</v>
      </c>
      <c r="AG11">
        <v>1</v>
      </c>
      <c r="AH11">
        <v>4.8644133999999999E-2</v>
      </c>
      <c r="AI11">
        <v>8.8986340000000008E-3</v>
      </c>
      <c r="AJ11">
        <v>80</v>
      </c>
      <c r="AK11">
        <v>24</v>
      </c>
      <c r="AL11">
        <f t="shared" si="0"/>
        <v>0.72727272727272729</v>
      </c>
      <c r="AM11">
        <f t="shared" si="1"/>
        <v>0.3</v>
      </c>
    </row>
    <row r="12" spans="1:39" x14ac:dyDescent="0.2">
      <c r="A12" t="s">
        <v>60</v>
      </c>
      <c r="B12" t="s">
        <v>61</v>
      </c>
      <c r="C12" t="s">
        <v>41</v>
      </c>
      <c r="D12" t="s">
        <v>61</v>
      </c>
      <c r="E12">
        <v>-0.23355799199999999</v>
      </c>
      <c r="F12">
        <v>7.7135534159999999</v>
      </c>
      <c r="G12">
        <v>7.9471114079999996</v>
      </c>
      <c r="H12">
        <v>23</v>
      </c>
      <c r="I12">
        <v>16</v>
      </c>
      <c r="J12">
        <v>7</v>
      </c>
      <c r="K12">
        <v>0.69565217400000001</v>
      </c>
      <c r="L12">
        <v>24.845958150000001</v>
      </c>
      <c r="M12">
        <v>13.066202369999999</v>
      </c>
      <c r="N12">
        <v>11.779755789999999</v>
      </c>
      <c r="O12">
        <v>0.52588844800000001</v>
      </c>
      <c r="P12">
        <v>2.933797631</v>
      </c>
      <c r="Q12">
        <v>-4.7797557849999999</v>
      </c>
      <c r="R12">
        <v>6</v>
      </c>
      <c r="S12">
        <v>5</v>
      </c>
      <c r="T12">
        <v>2.2403929999999999E-2</v>
      </c>
      <c r="U12">
        <v>-1.664525E-3</v>
      </c>
      <c r="V12">
        <v>19</v>
      </c>
      <c r="W12">
        <v>9</v>
      </c>
      <c r="X12">
        <v>10</v>
      </c>
      <c r="Y12">
        <v>0.47368421100000002</v>
      </c>
      <c r="Z12">
        <v>24.429262810000001</v>
      </c>
      <c r="AA12">
        <v>7.7410756999999997</v>
      </c>
      <c r="AB12">
        <v>16.688187110000001</v>
      </c>
      <c r="AC12">
        <v>0.31687717100000001</v>
      </c>
      <c r="AD12">
        <v>1.2589243000000001</v>
      </c>
      <c r="AE12">
        <v>-6.6881871080000002</v>
      </c>
      <c r="AF12">
        <v>1</v>
      </c>
      <c r="AG12">
        <v>0</v>
      </c>
      <c r="AH12">
        <v>4.5407551999999997E-2</v>
      </c>
      <c r="AI12">
        <v>-1.0091566999999999E-2</v>
      </c>
      <c r="AJ12">
        <v>67</v>
      </c>
      <c r="AK12">
        <v>18</v>
      </c>
      <c r="AL12">
        <f t="shared" si="0"/>
        <v>0.78260869565217395</v>
      </c>
      <c r="AM12">
        <f t="shared" si="1"/>
        <v>0.26865671641791045</v>
      </c>
    </row>
    <row r="13" spans="1:39" x14ac:dyDescent="0.2">
      <c r="A13" t="s">
        <v>62</v>
      </c>
      <c r="B13" t="s">
        <v>63</v>
      </c>
      <c r="C13" t="s">
        <v>41</v>
      </c>
      <c r="D13" t="s">
        <v>63</v>
      </c>
      <c r="E13">
        <v>2.34701841</v>
      </c>
      <c r="F13">
        <v>7.3577119700000004</v>
      </c>
      <c r="G13">
        <v>5.01069356</v>
      </c>
      <c r="H13">
        <v>12</v>
      </c>
      <c r="I13">
        <v>10</v>
      </c>
      <c r="J13">
        <v>2</v>
      </c>
      <c r="K13">
        <v>0.83333333300000001</v>
      </c>
      <c r="L13">
        <v>13.02963765</v>
      </c>
      <c r="M13">
        <v>6.8359628409999997</v>
      </c>
      <c r="N13">
        <v>6.1936748110000002</v>
      </c>
      <c r="O13">
        <v>0.52464719500000001</v>
      </c>
      <c r="P13">
        <v>3.1640371589999998</v>
      </c>
      <c r="Q13">
        <v>-4.1936748110000002</v>
      </c>
      <c r="R13">
        <v>2</v>
      </c>
      <c r="S13">
        <v>0</v>
      </c>
      <c r="T13">
        <v>2.3863804999999998E-2</v>
      </c>
      <c r="U13">
        <v>-1.885783E-3</v>
      </c>
      <c r="V13">
        <v>16</v>
      </c>
      <c r="W13">
        <v>9</v>
      </c>
      <c r="X13">
        <v>7</v>
      </c>
      <c r="Y13">
        <v>0.5625</v>
      </c>
      <c r="Z13">
        <v>8.4106099800000003</v>
      </c>
      <c r="AA13">
        <v>2.6999582100000001</v>
      </c>
      <c r="AB13">
        <v>5.7106517700000001</v>
      </c>
      <c r="AC13">
        <v>0.32101812099999999</v>
      </c>
      <c r="AD13">
        <v>6.3000417899999999</v>
      </c>
      <c r="AE13">
        <v>1.2893482300000001</v>
      </c>
      <c r="AF13">
        <v>3</v>
      </c>
      <c r="AG13">
        <v>2</v>
      </c>
      <c r="AH13">
        <v>4.3131333000000001E-2</v>
      </c>
      <c r="AI13">
        <v>3.8919949000000002E-2</v>
      </c>
      <c r="AJ13">
        <v>45</v>
      </c>
      <c r="AK13">
        <v>11</v>
      </c>
      <c r="AL13">
        <f t="shared" si="0"/>
        <v>0.91666666666666663</v>
      </c>
      <c r="AM13">
        <f t="shared" si="1"/>
        <v>0.24444444444444444</v>
      </c>
    </row>
    <row r="14" spans="1:39" x14ac:dyDescent="0.2">
      <c r="A14" t="s">
        <v>64</v>
      </c>
      <c r="B14" t="s">
        <v>57</v>
      </c>
      <c r="C14" t="s">
        <v>41</v>
      </c>
      <c r="D14" t="s">
        <v>57</v>
      </c>
      <c r="E14">
        <v>8.7833575360000005</v>
      </c>
      <c r="F14">
        <v>7.3246593669999998</v>
      </c>
      <c r="G14">
        <v>-1.458698169</v>
      </c>
      <c r="H14">
        <v>25</v>
      </c>
      <c r="I14">
        <v>17</v>
      </c>
      <c r="J14">
        <v>8</v>
      </c>
      <c r="K14">
        <v>0.68</v>
      </c>
      <c r="L14">
        <v>27.874159169999999</v>
      </c>
      <c r="M14">
        <v>14.7747499</v>
      </c>
      <c r="N14">
        <v>13.099409270000001</v>
      </c>
      <c r="O14">
        <v>0.53005186000000004</v>
      </c>
      <c r="P14">
        <v>2.2252500990000001</v>
      </c>
      <c r="Q14">
        <v>-5.0994092689999997</v>
      </c>
      <c r="R14">
        <v>6</v>
      </c>
      <c r="S14">
        <v>4</v>
      </c>
      <c r="T14">
        <v>2.1524446999999999E-2</v>
      </c>
      <c r="U14">
        <v>-2.2194279999999999E-3</v>
      </c>
      <c r="V14">
        <v>22</v>
      </c>
      <c r="W14">
        <v>9</v>
      </c>
      <c r="X14">
        <v>13</v>
      </c>
      <c r="Y14">
        <v>0.409090909</v>
      </c>
      <c r="Z14">
        <v>23.97927726</v>
      </c>
      <c r="AA14">
        <v>10.71898771</v>
      </c>
      <c r="AB14">
        <v>13.26028954</v>
      </c>
      <c r="AC14">
        <v>0.447010458</v>
      </c>
      <c r="AD14">
        <v>-1.7189877119999999</v>
      </c>
      <c r="AE14">
        <v>-0.26028954300000001</v>
      </c>
      <c r="AF14">
        <v>2</v>
      </c>
      <c r="AG14">
        <v>2</v>
      </c>
      <c r="AH14">
        <v>4.2516448999999998E-2</v>
      </c>
      <c r="AI14">
        <v>-3.5093569999999998E-3</v>
      </c>
      <c r="AJ14">
        <v>77</v>
      </c>
      <c r="AK14">
        <v>21</v>
      </c>
      <c r="AL14">
        <f t="shared" si="0"/>
        <v>0.84</v>
      </c>
      <c r="AM14">
        <f t="shared" si="1"/>
        <v>0.27272727272727271</v>
      </c>
    </row>
    <row r="15" spans="1:39" x14ac:dyDescent="0.2">
      <c r="A15" t="s">
        <v>65</v>
      </c>
      <c r="B15" t="s">
        <v>66</v>
      </c>
      <c r="C15" t="s">
        <v>41</v>
      </c>
      <c r="D15" t="s">
        <v>66</v>
      </c>
      <c r="E15">
        <v>8.2424806250000007</v>
      </c>
      <c r="F15">
        <v>7.212585764</v>
      </c>
      <c r="G15">
        <v>-1.0298948619999999</v>
      </c>
      <c r="H15">
        <v>27</v>
      </c>
      <c r="I15">
        <v>17</v>
      </c>
      <c r="J15">
        <v>10</v>
      </c>
      <c r="K15">
        <v>0.62962963000000005</v>
      </c>
      <c r="L15">
        <v>34.019589019999998</v>
      </c>
      <c r="M15">
        <v>16.903501630000001</v>
      </c>
      <c r="N15">
        <v>17.116087390000001</v>
      </c>
      <c r="O15">
        <v>0.49687553899999998</v>
      </c>
      <c r="P15">
        <v>9.6498371999999999E-2</v>
      </c>
      <c r="Q15">
        <v>-7.1160873919999998</v>
      </c>
      <c r="R15">
        <v>1</v>
      </c>
      <c r="S15">
        <v>2</v>
      </c>
      <c r="T15">
        <v>2.666112E-2</v>
      </c>
      <c r="U15">
        <v>-5.5012450000000001E-3</v>
      </c>
      <c r="V15">
        <v>23</v>
      </c>
      <c r="W15">
        <v>8</v>
      </c>
      <c r="X15">
        <v>15</v>
      </c>
      <c r="Y15">
        <v>0.34782608700000001</v>
      </c>
      <c r="Z15">
        <v>18.97329753</v>
      </c>
      <c r="AA15">
        <v>6.5015961979999997</v>
      </c>
      <c r="AB15">
        <v>12.471701339999999</v>
      </c>
      <c r="AC15">
        <v>0.34267086099999999</v>
      </c>
      <c r="AD15">
        <v>1.4984038019999999</v>
      </c>
      <c r="AE15">
        <v>2.5282986630000002</v>
      </c>
      <c r="AF15">
        <v>2</v>
      </c>
      <c r="AG15">
        <v>1</v>
      </c>
      <c r="AH15">
        <v>3.7720272999999999E-2</v>
      </c>
      <c r="AI15">
        <v>8.0053729999999997E-3</v>
      </c>
      <c r="AJ15">
        <v>95</v>
      </c>
      <c r="AK15">
        <v>20</v>
      </c>
      <c r="AL15">
        <f t="shared" si="0"/>
        <v>0.7407407407407407</v>
      </c>
      <c r="AM15">
        <f t="shared" si="1"/>
        <v>0.21052631578947367</v>
      </c>
    </row>
    <row r="16" spans="1:39" x14ac:dyDescent="0.2">
      <c r="A16" t="s">
        <v>67</v>
      </c>
      <c r="B16" t="s">
        <v>63</v>
      </c>
      <c r="C16" t="s">
        <v>41</v>
      </c>
      <c r="D16" t="s">
        <v>63</v>
      </c>
      <c r="E16">
        <v>14.35331218</v>
      </c>
      <c r="F16">
        <v>6.8577321099999997</v>
      </c>
      <c r="G16">
        <v>-7.4955800679999998</v>
      </c>
      <c r="H16">
        <v>24</v>
      </c>
      <c r="I16">
        <v>14</v>
      </c>
      <c r="J16">
        <v>10</v>
      </c>
      <c r="K16">
        <v>0.58333333300000001</v>
      </c>
      <c r="L16">
        <v>24.72195911</v>
      </c>
      <c r="M16">
        <v>10.9321135</v>
      </c>
      <c r="N16">
        <v>13.78984561</v>
      </c>
      <c r="O16">
        <v>0.44220255600000002</v>
      </c>
      <c r="P16">
        <v>3.067886498</v>
      </c>
      <c r="Q16">
        <v>-3.7898456129999998</v>
      </c>
      <c r="R16">
        <v>4</v>
      </c>
      <c r="S16">
        <v>1</v>
      </c>
      <c r="T16">
        <v>2.0844821999999999E-2</v>
      </c>
      <c r="U16">
        <v>-6.0873399999999999E-4</v>
      </c>
      <c r="V16">
        <v>21</v>
      </c>
      <c r="W16">
        <v>3</v>
      </c>
      <c r="X16">
        <v>18</v>
      </c>
      <c r="Y16">
        <v>0.14285714299999999</v>
      </c>
      <c r="Z16">
        <v>22.55670692</v>
      </c>
      <c r="AA16">
        <v>7.5261434930000002</v>
      </c>
      <c r="AB16">
        <v>15.03056342</v>
      </c>
      <c r="AC16">
        <v>0.33365435500000001</v>
      </c>
      <c r="AD16">
        <v>-4.5261434930000002</v>
      </c>
      <c r="AE16">
        <v>2.969436575</v>
      </c>
      <c r="AF16">
        <v>1</v>
      </c>
      <c r="AG16">
        <v>0</v>
      </c>
      <c r="AH16">
        <v>4.2640277999999997E-2</v>
      </c>
      <c r="AI16">
        <v>-2.9427350000000001E-3</v>
      </c>
      <c r="AJ16">
        <v>77</v>
      </c>
      <c r="AK16">
        <v>16</v>
      </c>
      <c r="AL16">
        <f t="shared" si="0"/>
        <v>0.66666666666666663</v>
      </c>
      <c r="AM16">
        <f t="shared" si="1"/>
        <v>0.20779220779220781</v>
      </c>
    </row>
    <row r="17" spans="1:39" x14ac:dyDescent="0.2">
      <c r="A17" t="s">
        <v>68</v>
      </c>
      <c r="B17" t="s">
        <v>69</v>
      </c>
      <c r="C17" t="s">
        <v>41</v>
      </c>
      <c r="D17" t="s">
        <v>69</v>
      </c>
      <c r="E17">
        <v>-0.25051343799999998</v>
      </c>
      <c r="F17">
        <v>6.7755976349999996</v>
      </c>
      <c r="G17">
        <v>7.026111073</v>
      </c>
      <c r="H17">
        <v>28</v>
      </c>
      <c r="I17">
        <v>15</v>
      </c>
      <c r="J17">
        <v>13</v>
      </c>
      <c r="K17">
        <v>0.53571428600000004</v>
      </c>
      <c r="L17">
        <v>27.423697570000002</v>
      </c>
      <c r="M17">
        <v>11.324049970000001</v>
      </c>
      <c r="N17">
        <v>16.099647600000001</v>
      </c>
      <c r="O17">
        <v>0.41292936299999999</v>
      </c>
      <c r="P17">
        <v>3.6759500319999998</v>
      </c>
      <c r="Q17">
        <v>-3.0996476030000002</v>
      </c>
      <c r="R17">
        <v>3</v>
      </c>
      <c r="S17">
        <v>0</v>
      </c>
      <c r="T17">
        <v>1.9560411999999999E-2</v>
      </c>
      <c r="U17">
        <v>4.1105699999999999E-4</v>
      </c>
      <c r="V17">
        <v>24</v>
      </c>
      <c r="W17">
        <v>15</v>
      </c>
      <c r="X17">
        <v>9</v>
      </c>
      <c r="Y17">
        <v>0.625</v>
      </c>
      <c r="Z17">
        <v>30.312778260000002</v>
      </c>
      <c r="AA17">
        <v>14.643333589999999</v>
      </c>
      <c r="AB17">
        <v>15.669444670000001</v>
      </c>
      <c r="AC17">
        <v>0.48307461200000001</v>
      </c>
      <c r="AD17">
        <v>0.35666640599999999</v>
      </c>
      <c r="AE17">
        <v>-6.6694446679999997</v>
      </c>
      <c r="AF17">
        <v>4</v>
      </c>
      <c r="AG17">
        <v>4</v>
      </c>
      <c r="AH17">
        <v>4.7512192000000002E-2</v>
      </c>
      <c r="AI17">
        <v>-9.8946369999999995E-3</v>
      </c>
      <c r="AJ17">
        <v>77</v>
      </c>
      <c r="AK17">
        <v>19</v>
      </c>
      <c r="AL17">
        <f t="shared" si="0"/>
        <v>0.6785714285714286</v>
      </c>
      <c r="AM17">
        <f t="shared" si="1"/>
        <v>0.24675324675324675</v>
      </c>
    </row>
    <row r="18" spans="1:39" x14ac:dyDescent="0.2">
      <c r="A18" t="s">
        <v>70</v>
      </c>
      <c r="B18" t="s">
        <v>71</v>
      </c>
      <c r="C18" t="s">
        <v>41</v>
      </c>
      <c r="D18" t="s">
        <v>71</v>
      </c>
      <c r="E18">
        <v>-2.5942266599999999</v>
      </c>
      <c r="F18">
        <v>6.2882778439999996</v>
      </c>
      <c r="G18">
        <v>8.8825045039999999</v>
      </c>
      <c r="H18">
        <v>8</v>
      </c>
      <c r="I18">
        <v>6</v>
      </c>
      <c r="J18">
        <v>2</v>
      </c>
      <c r="K18">
        <v>0.75</v>
      </c>
      <c r="L18">
        <v>19.96833552</v>
      </c>
      <c r="M18">
        <v>8.8400288400000004</v>
      </c>
      <c r="N18">
        <v>11.12830668</v>
      </c>
      <c r="O18">
        <v>0.442702339</v>
      </c>
      <c r="P18">
        <v>-2.84002884</v>
      </c>
      <c r="Q18">
        <v>-9.128306684</v>
      </c>
      <c r="R18">
        <v>1</v>
      </c>
      <c r="S18">
        <v>1</v>
      </c>
      <c r="T18">
        <v>1.9035592E-2</v>
      </c>
      <c r="U18">
        <v>-1.1409281E-2</v>
      </c>
      <c r="V18">
        <v>20</v>
      </c>
      <c r="W18">
        <v>16</v>
      </c>
      <c r="X18">
        <v>4</v>
      </c>
      <c r="Y18">
        <v>0.8</v>
      </c>
      <c r="Z18">
        <v>22.713571179999999</v>
      </c>
      <c r="AA18">
        <v>12.91553334</v>
      </c>
      <c r="AB18">
        <v>9.7980378399999992</v>
      </c>
      <c r="AC18">
        <v>0.56862627399999999</v>
      </c>
      <c r="AD18">
        <v>3.0844666639999998</v>
      </c>
      <c r="AE18">
        <v>-5.7980378400000001</v>
      </c>
      <c r="AF18">
        <v>4</v>
      </c>
      <c r="AG18">
        <v>1</v>
      </c>
      <c r="AH18">
        <v>4.8429789000000001E-2</v>
      </c>
      <c r="AI18">
        <v>-5.7858659999999998E-3</v>
      </c>
      <c r="AJ18">
        <v>58</v>
      </c>
      <c r="AK18">
        <v>7</v>
      </c>
      <c r="AL18">
        <f t="shared" si="0"/>
        <v>0.875</v>
      </c>
      <c r="AM18">
        <f t="shared" si="1"/>
        <v>0.1206896551724138</v>
      </c>
    </row>
    <row r="19" spans="1:39" x14ac:dyDescent="0.2">
      <c r="A19" t="s">
        <v>72</v>
      </c>
      <c r="B19" t="s">
        <v>73</v>
      </c>
      <c r="C19" t="s">
        <v>41</v>
      </c>
      <c r="D19" t="s">
        <v>73</v>
      </c>
      <c r="E19">
        <v>6.8732356750000001</v>
      </c>
      <c r="F19">
        <v>6.0351792629999998</v>
      </c>
      <c r="G19">
        <v>-0.83805641200000003</v>
      </c>
      <c r="H19">
        <v>28</v>
      </c>
      <c r="I19">
        <v>18</v>
      </c>
      <c r="J19">
        <v>10</v>
      </c>
      <c r="K19">
        <v>0.64285714299999996</v>
      </c>
      <c r="L19">
        <v>21.775323929999999</v>
      </c>
      <c r="M19">
        <v>11.870072329999999</v>
      </c>
      <c r="N19">
        <v>9.9052515949999993</v>
      </c>
      <c r="O19">
        <v>0.54511576399999995</v>
      </c>
      <c r="P19">
        <v>6.1299276669999996</v>
      </c>
      <c r="Q19">
        <v>9.4748404999999994E-2</v>
      </c>
      <c r="R19">
        <v>2</v>
      </c>
      <c r="S19">
        <v>2</v>
      </c>
      <c r="T19">
        <v>2.5438463000000001E-2</v>
      </c>
      <c r="U19">
        <v>7.2718180000000002E-3</v>
      </c>
      <c r="V19">
        <v>18</v>
      </c>
      <c r="W19">
        <v>8</v>
      </c>
      <c r="X19">
        <v>10</v>
      </c>
      <c r="Y19">
        <v>0.44444444399999999</v>
      </c>
      <c r="Z19">
        <v>12.751987400000001</v>
      </c>
      <c r="AA19">
        <v>5.7950219049999996</v>
      </c>
      <c r="AB19">
        <v>6.9569654930000002</v>
      </c>
      <c r="AC19">
        <v>0.45444068599999998</v>
      </c>
      <c r="AD19">
        <v>2.204978095</v>
      </c>
      <c r="AE19">
        <v>3.0430345070000002</v>
      </c>
      <c r="AF19">
        <v>3</v>
      </c>
      <c r="AG19">
        <v>3</v>
      </c>
      <c r="AH19">
        <v>3.6434250000000001E-2</v>
      </c>
      <c r="AI19">
        <v>1.4994321999999999E-2</v>
      </c>
      <c r="AJ19">
        <v>62</v>
      </c>
      <c r="AK19">
        <v>21</v>
      </c>
      <c r="AL19">
        <f t="shared" si="0"/>
        <v>0.75</v>
      </c>
      <c r="AM19">
        <f t="shared" si="1"/>
        <v>0.33870967741935482</v>
      </c>
    </row>
    <row r="20" spans="1:39" x14ac:dyDescent="0.2">
      <c r="A20" t="s">
        <v>74</v>
      </c>
      <c r="B20" t="s">
        <v>75</v>
      </c>
      <c r="C20" t="s">
        <v>41</v>
      </c>
      <c r="D20" t="s">
        <v>75</v>
      </c>
      <c r="E20">
        <v>6.8908070229999998</v>
      </c>
      <c r="F20">
        <v>5.8334501660000004</v>
      </c>
      <c r="G20">
        <v>-1.0573568579999999</v>
      </c>
      <c r="H20">
        <v>25</v>
      </c>
      <c r="I20">
        <v>16</v>
      </c>
      <c r="J20">
        <v>9</v>
      </c>
      <c r="K20">
        <v>0.64</v>
      </c>
      <c r="L20">
        <v>30.322596229999998</v>
      </c>
      <c r="M20">
        <v>15.74457303</v>
      </c>
      <c r="N20">
        <v>14.578023200000001</v>
      </c>
      <c r="O20">
        <v>0.51923565199999999</v>
      </c>
      <c r="P20">
        <v>0.25542696999999998</v>
      </c>
      <c r="Q20">
        <v>-5.5780231960000002</v>
      </c>
      <c r="R20">
        <v>3</v>
      </c>
      <c r="S20">
        <v>0</v>
      </c>
      <c r="T20">
        <v>2.4612497000000001E-2</v>
      </c>
      <c r="U20">
        <v>-4.3202889999999997E-3</v>
      </c>
      <c r="V20">
        <v>25</v>
      </c>
      <c r="W20">
        <v>9</v>
      </c>
      <c r="X20">
        <v>16</v>
      </c>
      <c r="Y20">
        <v>0.36</v>
      </c>
      <c r="Z20">
        <v>21.876092150000002</v>
      </c>
      <c r="AA20">
        <v>7.9667245040000001</v>
      </c>
      <c r="AB20">
        <v>13.90936765</v>
      </c>
      <c r="AC20">
        <v>0.364174938</v>
      </c>
      <c r="AD20">
        <v>1.0332754959999999</v>
      </c>
      <c r="AE20">
        <v>2.0906323530000002</v>
      </c>
      <c r="AF20">
        <v>1</v>
      </c>
      <c r="AG20">
        <v>0</v>
      </c>
      <c r="AH20">
        <v>4.1668746999999999E-2</v>
      </c>
      <c r="AI20">
        <v>5.9503009999999999E-3</v>
      </c>
      <c r="AJ20">
        <v>106</v>
      </c>
      <c r="AK20">
        <v>16</v>
      </c>
      <c r="AL20">
        <f t="shared" si="0"/>
        <v>0.64</v>
      </c>
      <c r="AM20">
        <f t="shared" si="1"/>
        <v>0.15094339622641509</v>
      </c>
    </row>
    <row r="21" spans="1:39" x14ac:dyDescent="0.2">
      <c r="A21" t="s">
        <v>76</v>
      </c>
      <c r="B21" t="s">
        <v>55</v>
      </c>
      <c r="C21" t="s">
        <v>41</v>
      </c>
      <c r="D21" t="s">
        <v>55</v>
      </c>
      <c r="E21">
        <v>3.2958859629999999</v>
      </c>
      <c r="F21">
        <v>5.4017681399999997</v>
      </c>
      <c r="G21">
        <v>2.1058821760000002</v>
      </c>
      <c r="H21">
        <v>30</v>
      </c>
      <c r="I21">
        <v>19</v>
      </c>
      <c r="J21">
        <v>11</v>
      </c>
      <c r="K21">
        <v>0.63333333300000005</v>
      </c>
      <c r="L21">
        <v>27.72919645</v>
      </c>
      <c r="M21">
        <v>15.163714150000001</v>
      </c>
      <c r="N21">
        <v>12.56548229</v>
      </c>
      <c r="O21">
        <v>0.54685011100000003</v>
      </c>
      <c r="P21">
        <v>3.836285846</v>
      </c>
      <c r="Q21">
        <v>-1.5654822939999999</v>
      </c>
      <c r="R21">
        <v>11</v>
      </c>
      <c r="S21">
        <v>1</v>
      </c>
      <c r="T21">
        <v>2.1512177E-2</v>
      </c>
      <c r="U21">
        <v>1.761678E-3</v>
      </c>
      <c r="V21">
        <v>24</v>
      </c>
      <c r="W21">
        <v>11</v>
      </c>
      <c r="X21">
        <v>13</v>
      </c>
      <c r="Y21">
        <v>0.45833333300000001</v>
      </c>
      <c r="Z21">
        <v>22.97910233</v>
      </c>
      <c r="AA21">
        <v>9.4366100779999993</v>
      </c>
      <c r="AB21">
        <v>13.54249225</v>
      </c>
      <c r="AC21">
        <v>0.41066051799999997</v>
      </c>
      <c r="AD21">
        <v>1.563389922</v>
      </c>
      <c r="AE21">
        <v>-0.54249225499999998</v>
      </c>
      <c r="AF21">
        <v>1</v>
      </c>
      <c r="AG21">
        <v>1</v>
      </c>
      <c r="AH21">
        <v>4.0743089000000003E-2</v>
      </c>
      <c r="AI21">
        <v>1.8101020000000001E-3</v>
      </c>
      <c r="AJ21">
        <v>91</v>
      </c>
      <c r="AK21">
        <v>25</v>
      </c>
      <c r="AL21">
        <f t="shared" si="0"/>
        <v>0.83333333333333337</v>
      </c>
      <c r="AM21">
        <f t="shared" si="1"/>
        <v>0.27472527472527475</v>
      </c>
    </row>
    <row r="22" spans="1:39" x14ac:dyDescent="0.2">
      <c r="A22" t="s">
        <v>77</v>
      </c>
      <c r="B22" t="s">
        <v>78</v>
      </c>
      <c r="C22" t="s">
        <v>41</v>
      </c>
      <c r="D22" t="s">
        <v>78</v>
      </c>
      <c r="E22">
        <v>4.8645860949999999</v>
      </c>
      <c r="F22">
        <v>5.3942059200000001</v>
      </c>
      <c r="G22">
        <v>0.52961982500000004</v>
      </c>
      <c r="H22">
        <v>13</v>
      </c>
      <c r="I22">
        <v>10</v>
      </c>
      <c r="J22">
        <v>3</v>
      </c>
      <c r="K22">
        <v>0.76923076899999998</v>
      </c>
      <c r="L22">
        <v>26.163674159999999</v>
      </c>
      <c r="M22">
        <v>13.884734119999999</v>
      </c>
      <c r="N22">
        <v>12.27894004</v>
      </c>
      <c r="O22">
        <v>0.53068747299999997</v>
      </c>
      <c r="P22">
        <v>-3.8847341219999998</v>
      </c>
      <c r="Q22">
        <v>-9.2789400420000003</v>
      </c>
      <c r="R22">
        <v>1</v>
      </c>
      <c r="S22">
        <v>3</v>
      </c>
      <c r="T22">
        <v>2.2516070999999999E-2</v>
      </c>
      <c r="U22">
        <v>-1.1328463E-2</v>
      </c>
      <c r="V22">
        <v>13</v>
      </c>
      <c r="W22">
        <v>5</v>
      </c>
      <c r="X22">
        <v>8</v>
      </c>
      <c r="Y22">
        <v>0.38461538499999998</v>
      </c>
      <c r="Z22">
        <v>23.374078910000001</v>
      </c>
      <c r="AA22">
        <v>9.9222295410000001</v>
      </c>
      <c r="AB22">
        <v>13.45184937</v>
      </c>
      <c r="AC22">
        <v>0.424497136</v>
      </c>
      <c r="AD22">
        <v>-4.9222295410000001</v>
      </c>
      <c r="AE22">
        <v>-5.4518493660000003</v>
      </c>
      <c r="AF22">
        <v>4</v>
      </c>
      <c r="AG22">
        <v>0</v>
      </c>
      <c r="AH22">
        <v>4.6469341999999997E-2</v>
      </c>
      <c r="AI22">
        <v>-2.0624410999999999E-2</v>
      </c>
      <c r="AJ22">
        <v>81</v>
      </c>
      <c r="AK22">
        <v>11</v>
      </c>
      <c r="AL22">
        <f t="shared" si="0"/>
        <v>0.84615384615384615</v>
      </c>
      <c r="AM22">
        <f t="shared" si="1"/>
        <v>0.13580246913580246</v>
      </c>
    </row>
    <row r="23" spans="1:39" x14ac:dyDescent="0.2">
      <c r="A23" t="s">
        <v>79</v>
      </c>
      <c r="B23" t="s">
        <v>66</v>
      </c>
      <c r="C23" t="s">
        <v>41</v>
      </c>
      <c r="D23" t="s">
        <v>66</v>
      </c>
      <c r="E23">
        <v>8.5701987600000002</v>
      </c>
      <c r="F23">
        <v>5.2135229760000001</v>
      </c>
      <c r="G23">
        <v>-3.3566757840000001</v>
      </c>
      <c r="H23">
        <v>10</v>
      </c>
      <c r="I23">
        <v>8</v>
      </c>
      <c r="J23">
        <v>2</v>
      </c>
      <c r="K23">
        <v>0.8</v>
      </c>
      <c r="L23">
        <v>13.32751983</v>
      </c>
      <c r="M23">
        <v>7.0569984259999998</v>
      </c>
      <c r="N23">
        <v>6.270521402</v>
      </c>
      <c r="O23">
        <v>0.52950575300000002</v>
      </c>
      <c r="P23">
        <v>0.94300157399999995</v>
      </c>
      <c r="Q23">
        <v>-4.270521402</v>
      </c>
      <c r="R23">
        <v>1</v>
      </c>
      <c r="S23">
        <v>0</v>
      </c>
      <c r="T23">
        <v>2.1884269000000001E-2</v>
      </c>
      <c r="U23">
        <v>-5.463908E-3</v>
      </c>
      <c r="V23">
        <v>8</v>
      </c>
      <c r="W23">
        <v>1</v>
      </c>
      <c r="X23">
        <v>7</v>
      </c>
      <c r="Y23">
        <v>0.125</v>
      </c>
      <c r="Z23">
        <v>7.9218469530000002</v>
      </c>
      <c r="AA23">
        <v>2.6392613680000001</v>
      </c>
      <c r="AB23">
        <v>5.2825855849999996</v>
      </c>
      <c r="AC23">
        <v>0.33316237799999998</v>
      </c>
      <c r="AD23">
        <v>-1.6392613680000001</v>
      </c>
      <c r="AE23">
        <v>1.7174144149999999</v>
      </c>
      <c r="AF23">
        <v>0</v>
      </c>
      <c r="AG23">
        <v>1</v>
      </c>
      <c r="AH23">
        <v>3.3145803000000001E-2</v>
      </c>
      <c r="AI23">
        <v>3.2699999999999998E-4</v>
      </c>
      <c r="AJ23">
        <v>40</v>
      </c>
      <c r="AK23">
        <v>9</v>
      </c>
      <c r="AL23">
        <f t="shared" si="0"/>
        <v>0.9</v>
      </c>
      <c r="AM23">
        <f t="shared" si="1"/>
        <v>0.22500000000000001</v>
      </c>
    </row>
    <row r="24" spans="1:39" x14ac:dyDescent="0.2">
      <c r="A24" t="s">
        <v>80</v>
      </c>
      <c r="B24" t="s">
        <v>81</v>
      </c>
      <c r="C24" t="s">
        <v>41</v>
      </c>
      <c r="D24" t="s">
        <v>81</v>
      </c>
      <c r="E24">
        <v>-2.420751691</v>
      </c>
      <c r="F24">
        <v>4.5612159869999997</v>
      </c>
      <c r="G24">
        <v>6.9819676780000002</v>
      </c>
      <c r="H24">
        <v>6</v>
      </c>
      <c r="I24">
        <v>5</v>
      </c>
      <c r="J24">
        <v>1</v>
      </c>
      <c r="K24">
        <v>0.83333333300000001</v>
      </c>
      <c r="L24">
        <v>17.867110660000002</v>
      </c>
      <c r="M24">
        <v>8.6529473370000005</v>
      </c>
      <c r="N24">
        <v>9.2141633229999993</v>
      </c>
      <c r="O24">
        <v>0.48429471899999998</v>
      </c>
      <c r="P24">
        <v>-3.6529473370000001</v>
      </c>
      <c r="Q24">
        <v>-8.2141633229999993</v>
      </c>
      <c r="R24">
        <v>2</v>
      </c>
      <c r="S24">
        <v>1</v>
      </c>
      <c r="T24">
        <v>2.3633744000000002E-2</v>
      </c>
      <c r="U24">
        <v>-1.5697236E-2</v>
      </c>
      <c r="V24">
        <v>8</v>
      </c>
      <c r="W24">
        <v>4</v>
      </c>
      <c r="X24">
        <v>4</v>
      </c>
      <c r="Y24">
        <v>0.5</v>
      </c>
      <c r="Z24">
        <v>15.76064817</v>
      </c>
      <c r="AA24">
        <v>4.3893402449999996</v>
      </c>
      <c r="AB24">
        <v>11.37130792</v>
      </c>
      <c r="AC24">
        <v>0.27849998300000001</v>
      </c>
      <c r="AD24">
        <v>-0.38934024499999997</v>
      </c>
      <c r="AE24">
        <v>-7.3713079229999998</v>
      </c>
      <c r="AF24">
        <v>1</v>
      </c>
      <c r="AG24">
        <v>1</v>
      </c>
      <c r="AH24">
        <v>4.5551005999999998E-2</v>
      </c>
      <c r="AI24">
        <v>-2.2429619000000001E-2</v>
      </c>
      <c r="AJ24">
        <v>50</v>
      </c>
      <c r="AK24">
        <v>5</v>
      </c>
      <c r="AL24">
        <f t="shared" si="0"/>
        <v>0.83333333333333337</v>
      </c>
      <c r="AM24">
        <f t="shared" si="1"/>
        <v>0.1</v>
      </c>
    </row>
    <row r="25" spans="1:39" x14ac:dyDescent="0.2">
      <c r="A25" t="s">
        <v>82</v>
      </c>
      <c r="B25" t="s">
        <v>83</v>
      </c>
      <c r="C25" t="s">
        <v>41</v>
      </c>
      <c r="D25" t="s">
        <v>83</v>
      </c>
      <c r="E25">
        <v>4.592037028</v>
      </c>
      <c r="F25">
        <v>4.5301396150000004</v>
      </c>
      <c r="G25">
        <v>-6.1897412999999998E-2</v>
      </c>
      <c r="H25">
        <v>22</v>
      </c>
      <c r="I25">
        <v>14</v>
      </c>
      <c r="J25">
        <v>8</v>
      </c>
      <c r="K25">
        <v>0.63636363600000001</v>
      </c>
      <c r="L25">
        <v>16.271302540000001</v>
      </c>
      <c r="M25">
        <v>8.8705814630000006</v>
      </c>
      <c r="N25">
        <v>7.4007210780000001</v>
      </c>
      <c r="O25">
        <v>0.54516726199999999</v>
      </c>
      <c r="P25">
        <v>5.1294185370000003</v>
      </c>
      <c r="Q25">
        <v>0.59927892199999999</v>
      </c>
      <c r="R25">
        <v>3</v>
      </c>
      <c r="S25">
        <v>1</v>
      </c>
      <c r="T25">
        <v>2.4177270000000001E-2</v>
      </c>
      <c r="U25">
        <v>8.5121799999999994E-3</v>
      </c>
      <c r="V25">
        <v>19</v>
      </c>
      <c r="W25">
        <v>8</v>
      </c>
      <c r="X25">
        <v>11</v>
      </c>
      <c r="Y25">
        <v>0.42105263199999998</v>
      </c>
      <c r="Z25">
        <v>11.697763699999999</v>
      </c>
      <c r="AA25">
        <v>4.3798305590000002</v>
      </c>
      <c r="AB25">
        <v>7.3179331449999996</v>
      </c>
      <c r="AC25">
        <v>0.37441605700000002</v>
      </c>
      <c r="AD25">
        <v>3.6201694409999998</v>
      </c>
      <c r="AE25">
        <v>3.682066855</v>
      </c>
      <c r="AF25">
        <v>3</v>
      </c>
      <c r="AG25">
        <v>2</v>
      </c>
      <c r="AH25">
        <v>4.0337115999999999E-2</v>
      </c>
      <c r="AI25">
        <v>2.5180125000000001E-2</v>
      </c>
      <c r="AJ25">
        <v>56</v>
      </c>
      <c r="AK25">
        <v>15</v>
      </c>
      <c r="AL25">
        <f t="shared" si="0"/>
        <v>0.68181818181818177</v>
      </c>
      <c r="AM25">
        <f t="shared" si="1"/>
        <v>0.26785714285714285</v>
      </c>
    </row>
    <row r="26" spans="1:39" x14ac:dyDescent="0.2">
      <c r="A26" t="s">
        <v>84</v>
      </c>
      <c r="B26" t="s">
        <v>51</v>
      </c>
      <c r="C26" t="s">
        <v>41</v>
      </c>
      <c r="D26" t="s">
        <v>51</v>
      </c>
      <c r="E26">
        <v>2.4277285439999998</v>
      </c>
      <c r="F26">
        <v>4.462125296</v>
      </c>
      <c r="G26">
        <v>2.0343967520000001</v>
      </c>
      <c r="H26">
        <v>22</v>
      </c>
      <c r="I26">
        <v>13</v>
      </c>
      <c r="J26">
        <v>9</v>
      </c>
      <c r="K26">
        <v>0.590909091</v>
      </c>
      <c r="L26">
        <v>15.34757924</v>
      </c>
      <c r="M26">
        <v>7.4427269709999999</v>
      </c>
      <c r="N26">
        <v>7.9048522669999999</v>
      </c>
      <c r="O26">
        <v>0.48494468400000001</v>
      </c>
      <c r="P26">
        <v>5.5572730290000001</v>
      </c>
      <c r="Q26">
        <v>1.0951477329999999</v>
      </c>
      <c r="R26">
        <v>1</v>
      </c>
      <c r="S26">
        <v>1</v>
      </c>
      <c r="T26">
        <v>1.9402755000000001E-2</v>
      </c>
      <c r="U26">
        <v>8.41014E-3</v>
      </c>
      <c r="V26">
        <v>9</v>
      </c>
      <c r="W26">
        <v>4</v>
      </c>
      <c r="X26">
        <v>5</v>
      </c>
      <c r="Y26">
        <v>0.44444444399999999</v>
      </c>
      <c r="Z26">
        <v>13.779917129999999</v>
      </c>
      <c r="AA26">
        <v>5.3727601910000002</v>
      </c>
      <c r="AB26">
        <v>8.4071569430000004</v>
      </c>
      <c r="AC26">
        <v>0.38989785900000001</v>
      </c>
      <c r="AD26">
        <v>-1.372760191</v>
      </c>
      <c r="AE26">
        <v>-3.4071569429999999</v>
      </c>
      <c r="AF26">
        <v>3</v>
      </c>
      <c r="AG26">
        <v>1</v>
      </c>
      <c r="AH26">
        <v>4.0174686000000001E-2</v>
      </c>
      <c r="AI26">
        <v>-1.3935618E-2</v>
      </c>
      <c r="AJ26">
        <v>51</v>
      </c>
      <c r="AK26">
        <v>15</v>
      </c>
      <c r="AL26">
        <f t="shared" si="0"/>
        <v>0.68181818181818177</v>
      </c>
      <c r="AM26">
        <f t="shared" si="1"/>
        <v>0.29411764705882354</v>
      </c>
    </row>
    <row r="27" spans="1:39" x14ac:dyDescent="0.2">
      <c r="A27" t="s">
        <v>85</v>
      </c>
      <c r="B27" t="s">
        <v>86</v>
      </c>
      <c r="C27" t="s">
        <v>41</v>
      </c>
      <c r="D27" t="s">
        <v>86</v>
      </c>
      <c r="E27">
        <v>1.922945138</v>
      </c>
      <c r="F27">
        <v>4.1127658990000002</v>
      </c>
      <c r="G27">
        <v>2.1898207599999999</v>
      </c>
      <c r="H27">
        <v>21</v>
      </c>
      <c r="I27">
        <v>15</v>
      </c>
      <c r="J27">
        <v>6</v>
      </c>
      <c r="K27">
        <v>0.71428571399999996</v>
      </c>
      <c r="L27">
        <v>14.68081465</v>
      </c>
      <c r="M27">
        <v>9.7840243739999995</v>
      </c>
      <c r="N27">
        <v>4.8967902729999997</v>
      </c>
      <c r="O27">
        <v>0.66644968999999998</v>
      </c>
      <c r="P27">
        <v>5.2159756259999996</v>
      </c>
      <c r="Q27">
        <v>1.1032097270000001</v>
      </c>
      <c r="R27">
        <v>6</v>
      </c>
      <c r="S27">
        <v>2</v>
      </c>
      <c r="T27">
        <v>2.0912841000000001E-2</v>
      </c>
      <c r="U27">
        <v>9.0016890000000002E-3</v>
      </c>
      <c r="V27">
        <v>20</v>
      </c>
      <c r="W27">
        <v>10</v>
      </c>
      <c r="X27">
        <v>10</v>
      </c>
      <c r="Y27">
        <v>0.5</v>
      </c>
      <c r="Z27">
        <v>15.286505590000001</v>
      </c>
      <c r="AA27">
        <v>6.5483424140000004</v>
      </c>
      <c r="AB27">
        <v>8.7381631740000003</v>
      </c>
      <c r="AC27">
        <v>0.42837405699999997</v>
      </c>
      <c r="AD27">
        <v>3.4516575860000001</v>
      </c>
      <c r="AE27">
        <v>1.2618368259999999</v>
      </c>
      <c r="AF27">
        <v>3</v>
      </c>
      <c r="AG27">
        <v>2</v>
      </c>
      <c r="AH27">
        <v>4.4180652000000001E-2</v>
      </c>
      <c r="AI27">
        <v>1.3622815999999999E-2</v>
      </c>
      <c r="AJ27">
        <v>47</v>
      </c>
      <c r="AK27">
        <v>16</v>
      </c>
      <c r="AL27">
        <f t="shared" si="0"/>
        <v>0.76190476190476186</v>
      </c>
      <c r="AM27">
        <f t="shared" si="1"/>
        <v>0.34042553191489361</v>
      </c>
    </row>
    <row r="28" spans="1:39" x14ac:dyDescent="0.2">
      <c r="A28" t="s">
        <v>87</v>
      </c>
      <c r="B28" t="s">
        <v>45</v>
      </c>
      <c r="C28" t="s">
        <v>41</v>
      </c>
      <c r="D28" t="s">
        <v>45</v>
      </c>
      <c r="E28">
        <v>3.8127573410000002</v>
      </c>
      <c r="F28">
        <v>4.0299949310000001</v>
      </c>
      <c r="G28">
        <v>0.21723759000000001</v>
      </c>
      <c r="H28">
        <v>4</v>
      </c>
      <c r="I28">
        <v>4</v>
      </c>
      <c r="J28">
        <v>0</v>
      </c>
      <c r="K28">
        <v>1</v>
      </c>
      <c r="L28">
        <v>4.635803213</v>
      </c>
      <c r="M28">
        <v>2.302904141</v>
      </c>
      <c r="N28">
        <v>2.332899072</v>
      </c>
      <c r="O28">
        <v>0.496764861</v>
      </c>
      <c r="P28">
        <v>1.697095859</v>
      </c>
      <c r="Q28">
        <v>-2.332899072</v>
      </c>
      <c r="R28">
        <v>2</v>
      </c>
      <c r="S28">
        <v>1</v>
      </c>
      <c r="T28">
        <v>1.8323333000000001E-2</v>
      </c>
      <c r="U28">
        <v>-2.5130560000000001E-3</v>
      </c>
      <c r="V28">
        <v>3</v>
      </c>
      <c r="W28">
        <v>1</v>
      </c>
      <c r="X28">
        <v>2</v>
      </c>
      <c r="Y28">
        <v>0.33333333300000001</v>
      </c>
      <c r="Z28">
        <v>3.4140775190000001</v>
      </c>
      <c r="AA28">
        <v>1.0984199640000001</v>
      </c>
      <c r="AB28">
        <v>2.315657554</v>
      </c>
      <c r="AC28">
        <v>0.32173257900000002</v>
      </c>
      <c r="AD28">
        <v>-9.8419963999999999E-2</v>
      </c>
      <c r="AE28">
        <v>-0.31565755400000001</v>
      </c>
      <c r="AF28">
        <v>0</v>
      </c>
      <c r="AG28">
        <v>0</v>
      </c>
      <c r="AH28">
        <v>3.7109537999999997E-2</v>
      </c>
      <c r="AI28">
        <v>-4.500843E-3</v>
      </c>
      <c r="AJ28">
        <v>10</v>
      </c>
      <c r="AK28">
        <v>4</v>
      </c>
      <c r="AL28">
        <f t="shared" si="0"/>
        <v>1</v>
      </c>
      <c r="AM28">
        <f t="shared" si="1"/>
        <v>0.4</v>
      </c>
    </row>
    <row r="29" spans="1:39" x14ac:dyDescent="0.2">
      <c r="A29" t="s">
        <v>88</v>
      </c>
      <c r="B29" t="s">
        <v>83</v>
      </c>
      <c r="C29" t="s">
        <v>41</v>
      </c>
      <c r="D29" t="s">
        <v>83</v>
      </c>
      <c r="E29">
        <v>4.7581785649999997</v>
      </c>
      <c r="F29">
        <v>3.8698253820000001</v>
      </c>
      <c r="G29">
        <v>-0.88835318299999999</v>
      </c>
      <c r="H29">
        <v>5</v>
      </c>
      <c r="I29">
        <v>5</v>
      </c>
      <c r="J29">
        <v>0</v>
      </c>
      <c r="K29">
        <v>1</v>
      </c>
      <c r="L29">
        <v>7.1044340220000004</v>
      </c>
      <c r="M29">
        <v>4.1173043199999997</v>
      </c>
      <c r="N29">
        <v>2.9871297019999998</v>
      </c>
      <c r="O29">
        <v>0.57954008800000001</v>
      </c>
      <c r="P29">
        <v>0.88269567999999998</v>
      </c>
      <c r="Q29">
        <v>-2.9871297019999998</v>
      </c>
      <c r="R29">
        <v>0</v>
      </c>
      <c r="S29">
        <v>1</v>
      </c>
      <c r="T29">
        <v>2.1398898E-2</v>
      </c>
      <c r="U29">
        <v>-6.3386570000000001E-3</v>
      </c>
      <c r="V29">
        <v>6</v>
      </c>
      <c r="W29">
        <v>2</v>
      </c>
      <c r="X29">
        <v>4</v>
      </c>
      <c r="Y29">
        <v>0.33333333300000001</v>
      </c>
      <c r="Z29">
        <v>6.8941481800000002</v>
      </c>
      <c r="AA29">
        <v>2.8912506819999999</v>
      </c>
      <c r="AB29">
        <v>4.0028974990000004</v>
      </c>
      <c r="AC29">
        <v>0.41937750800000001</v>
      </c>
      <c r="AD29">
        <v>-0.89125068200000002</v>
      </c>
      <c r="AE29">
        <v>-2.897499E-3</v>
      </c>
      <c r="AF29">
        <v>1</v>
      </c>
      <c r="AG29">
        <v>1</v>
      </c>
      <c r="AH29">
        <v>5.1835700999999998E-2</v>
      </c>
      <c r="AI29">
        <v>-6.7229189999999999E-3</v>
      </c>
      <c r="AJ29">
        <v>17</v>
      </c>
      <c r="AK29">
        <v>5</v>
      </c>
      <c r="AL29">
        <f t="shared" si="0"/>
        <v>1</v>
      </c>
      <c r="AM29">
        <f t="shared" si="1"/>
        <v>0.29411764705882354</v>
      </c>
    </row>
    <row r="30" spans="1:39" x14ac:dyDescent="0.2">
      <c r="A30" t="s">
        <v>89</v>
      </c>
      <c r="B30" t="s">
        <v>90</v>
      </c>
      <c r="C30" t="s">
        <v>41</v>
      </c>
      <c r="D30" t="s">
        <v>90</v>
      </c>
      <c r="E30">
        <v>-4.8785747199999996</v>
      </c>
      <c r="F30">
        <v>3.5740543919999999</v>
      </c>
      <c r="G30">
        <v>8.4526291120000003</v>
      </c>
      <c r="H30">
        <v>14</v>
      </c>
      <c r="I30">
        <v>10</v>
      </c>
      <c r="J30">
        <v>4</v>
      </c>
      <c r="K30">
        <v>0.71428571399999996</v>
      </c>
      <c r="L30">
        <v>30.860391799999999</v>
      </c>
      <c r="M30">
        <v>16.6431687</v>
      </c>
      <c r="N30">
        <v>14.217223089999999</v>
      </c>
      <c r="O30">
        <v>0.53930516500000003</v>
      </c>
      <c r="P30">
        <v>-6.6431687029999997</v>
      </c>
      <c r="Q30">
        <v>-10.217223089999999</v>
      </c>
      <c r="R30">
        <v>4</v>
      </c>
      <c r="S30">
        <v>1</v>
      </c>
      <c r="T30">
        <v>2.3702298E-2</v>
      </c>
      <c r="U30">
        <v>-1.294961E-2</v>
      </c>
      <c r="V30">
        <v>13</v>
      </c>
      <c r="W30">
        <v>7</v>
      </c>
      <c r="X30">
        <v>6</v>
      </c>
      <c r="Y30">
        <v>0.53846153799999996</v>
      </c>
      <c r="Z30">
        <v>18.120981050000001</v>
      </c>
      <c r="AA30">
        <v>5.3341759690000004</v>
      </c>
      <c r="AB30">
        <v>12.786805080000001</v>
      </c>
      <c r="AC30">
        <v>0.29436463499999999</v>
      </c>
      <c r="AD30">
        <v>1.6658240310000001</v>
      </c>
      <c r="AE30">
        <v>-6.7868050809999998</v>
      </c>
      <c r="AF30">
        <v>0</v>
      </c>
      <c r="AG30">
        <v>0</v>
      </c>
      <c r="AH30">
        <v>3.4385163000000003E-2</v>
      </c>
      <c r="AI30">
        <v>-9.7172319999999993E-3</v>
      </c>
      <c r="AJ30">
        <v>90</v>
      </c>
      <c r="AK30">
        <v>13</v>
      </c>
      <c r="AL30">
        <f t="shared" si="0"/>
        <v>0.9285714285714286</v>
      </c>
      <c r="AM30">
        <f t="shared" si="1"/>
        <v>0.14444444444444443</v>
      </c>
    </row>
    <row r="31" spans="1:39" x14ac:dyDescent="0.2">
      <c r="A31" t="s">
        <v>91</v>
      </c>
      <c r="B31" t="s">
        <v>40</v>
      </c>
      <c r="C31" t="s">
        <v>41</v>
      </c>
      <c r="D31" t="s">
        <v>40</v>
      </c>
      <c r="E31">
        <v>5.656537374</v>
      </c>
      <c r="F31">
        <v>3.3335357600000002</v>
      </c>
      <c r="G31">
        <v>-2.3230016139999998</v>
      </c>
      <c r="H31">
        <v>5</v>
      </c>
      <c r="I31">
        <v>4</v>
      </c>
      <c r="J31">
        <v>1</v>
      </c>
      <c r="K31">
        <v>0.8</v>
      </c>
      <c r="L31">
        <v>10.73894106</v>
      </c>
      <c r="M31">
        <v>5.2027026520000001</v>
      </c>
      <c r="N31">
        <v>5.5362384120000003</v>
      </c>
      <c r="O31">
        <v>0.48447073299999999</v>
      </c>
      <c r="P31">
        <v>-1.2027026519999999</v>
      </c>
      <c r="Q31">
        <v>-4.5362384120000003</v>
      </c>
      <c r="R31">
        <v>1</v>
      </c>
      <c r="S31">
        <v>1</v>
      </c>
      <c r="T31">
        <v>1.9632433000000001E-2</v>
      </c>
      <c r="U31">
        <v>-1.0491666E-2</v>
      </c>
      <c r="V31">
        <v>11</v>
      </c>
      <c r="W31">
        <v>4</v>
      </c>
      <c r="X31">
        <v>7</v>
      </c>
      <c r="Y31">
        <v>0.36363636399999999</v>
      </c>
      <c r="Z31">
        <v>10.934881730000001</v>
      </c>
      <c r="AA31">
        <v>5.1289416719999998</v>
      </c>
      <c r="AB31">
        <v>5.805940058</v>
      </c>
      <c r="AC31">
        <v>0.46904409200000002</v>
      </c>
      <c r="AD31">
        <v>-1.1289416720000001</v>
      </c>
      <c r="AE31">
        <v>1.194059942</v>
      </c>
      <c r="AF31">
        <v>1</v>
      </c>
      <c r="AG31">
        <v>0</v>
      </c>
      <c r="AH31">
        <v>4.5944881E-2</v>
      </c>
      <c r="AI31">
        <v>2.7360600000000002E-4</v>
      </c>
      <c r="AJ31">
        <v>30</v>
      </c>
      <c r="AK31">
        <v>5</v>
      </c>
      <c r="AL31">
        <f t="shared" si="0"/>
        <v>1</v>
      </c>
      <c r="AM31">
        <f t="shared" si="1"/>
        <v>0.16666666666666666</v>
      </c>
    </row>
    <row r="32" spans="1:39" x14ac:dyDescent="0.2">
      <c r="A32" t="s">
        <v>92</v>
      </c>
      <c r="B32" t="s">
        <v>93</v>
      </c>
      <c r="C32" t="s">
        <v>41</v>
      </c>
      <c r="D32" t="s">
        <v>93</v>
      </c>
      <c r="E32">
        <v>-1.102216654</v>
      </c>
      <c r="F32">
        <v>2.9324261639999998</v>
      </c>
      <c r="G32">
        <v>4.034642818</v>
      </c>
      <c r="H32">
        <v>41</v>
      </c>
      <c r="I32">
        <v>22</v>
      </c>
      <c r="J32">
        <v>19</v>
      </c>
      <c r="K32">
        <v>0.53658536599999995</v>
      </c>
      <c r="L32">
        <v>28.086673879999999</v>
      </c>
      <c r="M32">
        <v>14.07712386</v>
      </c>
      <c r="N32">
        <v>14.009550020000001</v>
      </c>
      <c r="O32">
        <v>0.50120295199999998</v>
      </c>
      <c r="P32">
        <v>7.9228761409999997</v>
      </c>
      <c r="Q32">
        <v>4.9904499769999999</v>
      </c>
      <c r="R32">
        <v>3</v>
      </c>
      <c r="S32">
        <v>2</v>
      </c>
      <c r="T32">
        <v>2.1705312000000001E-2</v>
      </c>
      <c r="U32">
        <v>9.9793859999999998E-3</v>
      </c>
      <c r="V32">
        <v>22</v>
      </c>
      <c r="W32">
        <v>9</v>
      </c>
      <c r="X32">
        <v>13</v>
      </c>
      <c r="Y32">
        <v>0.409090909</v>
      </c>
      <c r="Z32">
        <v>24.383940509999999</v>
      </c>
      <c r="AA32">
        <v>8.1746488460000002</v>
      </c>
      <c r="AB32">
        <v>16.209291660000002</v>
      </c>
      <c r="AC32">
        <v>0.335247244</v>
      </c>
      <c r="AD32">
        <v>0.82535115400000003</v>
      </c>
      <c r="AE32">
        <v>-3.2092916640000002</v>
      </c>
      <c r="AF32">
        <v>0</v>
      </c>
      <c r="AG32">
        <v>0</v>
      </c>
      <c r="AH32">
        <v>3.5806079999999997E-2</v>
      </c>
      <c r="AI32">
        <v>-3.500647E-3</v>
      </c>
      <c r="AJ32">
        <v>89</v>
      </c>
      <c r="AK32">
        <v>29</v>
      </c>
      <c r="AL32">
        <f t="shared" si="0"/>
        <v>0.70731707317073167</v>
      </c>
      <c r="AM32">
        <f t="shared" si="1"/>
        <v>0.3258426966292135</v>
      </c>
    </row>
    <row r="33" spans="1:39" x14ac:dyDescent="0.2">
      <c r="A33" t="s">
        <v>94</v>
      </c>
      <c r="B33" t="s">
        <v>66</v>
      </c>
      <c r="C33" t="s">
        <v>41</v>
      </c>
      <c r="D33" t="s">
        <v>66</v>
      </c>
      <c r="E33">
        <v>1.51530517</v>
      </c>
      <c r="F33">
        <v>2.656524536</v>
      </c>
      <c r="G33">
        <v>1.1412193669999999</v>
      </c>
      <c r="H33">
        <v>7</v>
      </c>
      <c r="I33">
        <v>5</v>
      </c>
      <c r="J33">
        <v>2</v>
      </c>
      <c r="K33">
        <v>0.71428571399999996</v>
      </c>
      <c r="L33">
        <v>5.2143644010000001</v>
      </c>
      <c r="M33">
        <v>2.778919932</v>
      </c>
      <c r="N33">
        <v>2.4354444690000001</v>
      </c>
      <c r="O33">
        <v>0.53293550599999995</v>
      </c>
      <c r="P33">
        <v>2.221080068</v>
      </c>
      <c r="Q33">
        <v>-0.435444469</v>
      </c>
      <c r="R33">
        <v>1</v>
      </c>
      <c r="S33">
        <v>1</v>
      </c>
      <c r="T33">
        <v>1.8961325000000001E-2</v>
      </c>
      <c r="U33">
        <v>6.4932200000000001E-3</v>
      </c>
      <c r="V33">
        <v>5</v>
      </c>
      <c r="W33">
        <v>3</v>
      </c>
      <c r="X33">
        <v>2</v>
      </c>
      <c r="Y33">
        <v>0.6</v>
      </c>
      <c r="Z33">
        <v>5.7034626660000001</v>
      </c>
      <c r="AA33">
        <v>2.7811216499999998</v>
      </c>
      <c r="AB33">
        <v>2.9223410159999998</v>
      </c>
      <c r="AC33">
        <v>0.48761985699999999</v>
      </c>
      <c r="AD33">
        <v>0.21887835</v>
      </c>
      <c r="AE33">
        <v>-0.92234101599999996</v>
      </c>
      <c r="AF33">
        <v>2</v>
      </c>
      <c r="AG33">
        <v>2</v>
      </c>
      <c r="AH33">
        <v>6.3371807000000002E-2</v>
      </c>
      <c r="AI33">
        <v>-7.8162519999999992E-3</v>
      </c>
      <c r="AJ33">
        <v>19</v>
      </c>
      <c r="AK33">
        <v>5</v>
      </c>
      <c r="AL33">
        <f t="shared" si="0"/>
        <v>0.7142857142857143</v>
      </c>
      <c r="AM33">
        <f t="shared" si="1"/>
        <v>0.26315789473684209</v>
      </c>
    </row>
    <row r="34" spans="1:39" x14ac:dyDescent="0.2">
      <c r="A34" t="s">
        <v>95</v>
      </c>
      <c r="B34" t="s">
        <v>73</v>
      </c>
      <c r="C34" t="s">
        <v>41</v>
      </c>
      <c r="D34" t="s">
        <v>73</v>
      </c>
      <c r="E34">
        <v>1.272280302</v>
      </c>
      <c r="F34">
        <v>2.5885934179999999</v>
      </c>
      <c r="G34">
        <v>1.3163131159999999</v>
      </c>
      <c r="H34">
        <v>21</v>
      </c>
      <c r="I34">
        <v>14</v>
      </c>
      <c r="J34">
        <v>7</v>
      </c>
      <c r="K34">
        <v>0.66666666699999999</v>
      </c>
      <c r="L34">
        <v>22.87341314</v>
      </c>
      <c r="M34">
        <v>13.642409860000001</v>
      </c>
      <c r="N34">
        <v>9.2310032779999993</v>
      </c>
      <c r="O34">
        <v>0.59643087699999997</v>
      </c>
      <c r="P34">
        <v>0.35759014</v>
      </c>
      <c r="Q34">
        <v>-2.2310032780000002</v>
      </c>
      <c r="R34">
        <v>7</v>
      </c>
      <c r="S34">
        <v>0</v>
      </c>
      <c r="T34">
        <v>2.2896309E-2</v>
      </c>
      <c r="U34">
        <v>-1.8752879999999999E-3</v>
      </c>
      <c r="V34">
        <v>19</v>
      </c>
      <c r="W34">
        <v>9</v>
      </c>
      <c r="X34">
        <v>10</v>
      </c>
      <c r="Y34">
        <v>0.47368421100000002</v>
      </c>
      <c r="Z34">
        <v>17.84751816</v>
      </c>
      <c r="AA34">
        <v>7.7656025240000002</v>
      </c>
      <c r="AB34">
        <v>10.08191564</v>
      </c>
      <c r="AC34">
        <v>0.435108257</v>
      </c>
      <c r="AD34">
        <v>1.234397476</v>
      </c>
      <c r="AE34">
        <v>-8.1915640999999997E-2</v>
      </c>
      <c r="AF34">
        <v>1</v>
      </c>
      <c r="AG34">
        <v>0</v>
      </c>
      <c r="AH34">
        <v>4.4067945999999997E-2</v>
      </c>
      <c r="AI34">
        <v>2.8456340000000001E-3</v>
      </c>
      <c r="AJ34">
        <v>57</v>
      </c>
      <c r="AK34">
        <v>16</v>
      </c>
      <c r="AL34">
        <f t="shared" si="0"/>
        <v>0.76190476190476186</v>
      </c>
      <c r="AM34">
        <f t="shared" si="1"/>
        <v>0.2807017543859649</v>
      </c>
    </row>
    <row r="35" spans="1:39" x14ac:dyDescent="0.2">
      <c r="A35" t="s">
        <v>96</v>
      </c>
      <c r="B35" t="s">
        <v>93</v>
      </c>
      <c r="C35" t="s">
        <v>41</v>
      </c>
      <c r="D35" t="s">
        <v>93</v>
      </c>
      <c r="E35">
        <v>2.5688869580000002</v>
      </c>
      <c r="F35">
        <v>2.3620830769999999</v>
      </c>
      <c r="G35">
        <v>-0.20680388099999999</v>
      </c>
      <c r="H35">
        <v>8</v>
      </c>
      <c r="I35">
        <v>6</v>
      </c>
      <c r="J35">
        <v>2</v>
      </c>
      <c r="K35">
        <v>0.75</v>
      </c>
      <c r="L35">
        <v>7.5012415309999998</v>
      </c>
      <c r="M35">
        <v>4.5695792270000002</v>
      </c>
      <c r="N35">
        <v>2.9316623040000001</v>
      </c>
      <c r="O35">
        <v>0.60917638900000004</v>
      </c>
      <c r="P35">
        <v>1.430420773</v>
      </c>
      <c r="Q35">
        <v>-0.93166230400000005</v>
      </c>
      <c r="R35">
        <v>0</v>
      </c>
      <c r="S35">
        <v>0</v>
      </c>
      <c r="T35">
        <v>2.4594234999999999E-2</v>
      </c>
      <c r="U35">
        <v>1.6352739999999999E-3</v>
      </c>
      <c r="V35">
        <v>7</v>
      </c>
      <c r="W35">
        <v>3</v>
      </c>
      <c r="X35">
        <v>4</v>
      </c>
      <c r="Y35">
        <v>0.428571429</v>
      </c>
      <c r="Z35">
        <v>6.222773772</v>
      </c>
      <c r="AA35">
        <v>2.714788827</v>
      </c>
      <c r="AB35">
        <v>3.507984945</v>
      </c>
      <c r="AC35">
        <v>0.43626667600000002</v>
      </c>
      <c r="AD35">
        <v>0.28521117299999998</v>
      </c>
      <c r="AE35">
        <v>0.49201505499999998</v>
      </c>
      <c r="AF35">
        <v>0</v>
      </c>
      <c r="AG35">
        <v>0</v>
      </c>
      <c r="AH35">
        <v>4.5092564000000002E-2</v>
      </c>
      <c r="AI35">
        <v>5.6320739999999999E-3</v>
      </c>
      <c r="AJ35">
        <v>29</v>
      </c>
      <c r="AK35">
        <v>7</v>
      </c>
      <c r="AL35">
        <f t="shared" si="0"/>
        <v>0.875</v>
      </c>
      <c r="AM35">
        <f t="shared" si="1"/>
        <v>0.2413793103448276</v>
      </c>
    </row>
    <row r="36" spans="1:39" x14ac:dyDescent="0.2">
      <c r="A36" t="s">
        <v>97</v>
      </c>
      <c r="B36" t="s">
        <v>61</v>
      </c>
      <c r="C36" t="s">
        <v>41</v>
      </c>
      <c r="D36" t="s">
        <v>61</v>
      </c>
      <c r="E36">
        <v>-2.213009902</v>
      </c>
      <c r="F36">
        <v>1.9762133079999999</v>
      </c>
      <c r="G36">
        <v>4.1892232099999998</v>
      </c>
      <c r="H36">
        <v>22</v>
      </c>
      <c r="I36">
        <v>12</v>
      </c>
      <c r="J36">
        <v>10</v>
      </c>
      <c r="K36">
        <v>0.54545454500000001</v>
      </c>
      <c r="L36">
        <v>13.451084420000001</v>
      </c>
      <c r="M36">
        <v>6.7374355540000002</v>
      </c>
      <c r="N36">
        <v>6.7136488620000003</v>
      </c>
      <c r="O36">
        <v>0.50088419200000001</v>
      </c>
      <c r="P36">
        <v>5.2625644459999998</v>
      </c>
      <c r="Q36">
        <v>3.2863511380000001</v>
      </c>
      <c r="R36">
        <v>4</v>
      </c>
      <c r="S36">
        <v>1</v>
      </c>
      <c r="T36">
        <v>2.2381172000000001E-2</v>
      </c>
      <c r="U36">
        <v>1.4224485E-2</v>
      </c>
      <c r="V36">
        <v>13</v>
      </c>
      <c r="W36">
        <v>8</v>
      </c>
      <c r="X36">
        <v>5</v>
      </c>
      <c r="Y36">
        <v>0.61538461499999997</v>
      </c>
      <c r="Z36">
        <v>14.84976799</v>
      </c>
      <c r="AA36">
        <v>6.8302723890000001</v>
      </c>
      <c r="AB36">
        <v>8.0194956000000008</v>
      </c>
      <c r="AC36">
        <v>0.45995818900000002</v>
      </c>
      <c r="AD36">
        <v>1.1697276109999999</v>
      </c>
      <c r="AE36">
        <v>-3.0194955999999999</v>
      </c>
      <c r="AF36">
        <v>3</v>
      </c>
      <c r="AG36">
        <v>1</v>
      </c>
      <c r="AH36">
        <v>5.6462996000000001E-2</v>
      </c>
      <c r="AI36">
        <v>-7.0333380000000001E-3</v>
      </c>
      <c r="AJ36">
        <v>44</v>
      </c>
      <c r="AK36">
        <v>13</v>
      </c>
      <c r="AL36">
        <f t="shared" si="0"/>
        <v>0.59090909090909094</v>
      </c>
      <c r="AM36">
        <f t="shared" si="1"/>
        <v>0.29545454545454547</v>
      </c>
    </row>
    <row r="37" spans="1:39" x14ac:dyDescent="0.2">
      <c r="A37" t="s">
        <v>98</v>
      </c>
      <c r="B37" t="s">
        <v>99</v>
      </c>
      <c r="C37" t="s">
        <v>41</v>
      </c>
      <c r="D37" t="s">
        <v>99</v>
      </c>
      <c r="E37">
        <v>0.56549644099999996</v>
      </c>
      <c r="F37">
        <v>1.938462079</v>
      </c>
      <c r="G37">
        <v>1.3729656379999999</v>
      </c>
      <c r="H37">
        <v>17</v>
      </c>
      <c r="I37">
        <v>8</v>
      </c>
      <c r="J37">
        <v>9</v>
      </c>
      <c r="K37">
        <v>0.47058823500000002</v>
      </c>
      <c r="L37">
        <v>13.45398911</v>
      </c>
      <c r="M37">
        <v>5.2577635139999996</v>
      </c>
      <c r="N37">
        <v>8.1962255929999994</v>
      </c>
      <c r="O37">
        <v>0.39079587999999998</v>
      </c>
      <c r="P37">
        <v>2.7422364859999999</v>
      </c>
      <c r="Q37">
        <v>0.80377440700000002</v>
      </c>
      <c r="R37">
        <v>1</v>
      </c>
      <c r="S37">
        <v>1</v>
      </c>
      <c r="T37">
        <v>1.9612228999999998E-2</v>
      </c>
      <c r="U37">
        <v>5.169112E-3</v>
      </c>
      <c r="V37">
        <v>11</v>
      </c>
      <c r="W37">
        <v>6</v>
      </c>
      <c r="X37">
        <v>5</v>
      </c>
      <c r="Y37">
        <v>0.54545454500000001</v>
      </c>
      <c r="Z37">
        <v>16.473503440000002</v>
      </c>
      <c r="AA37">
        <v>8.0502689000000007</v>
      </c>
      <c r="AB37">
        <v>8.4232345380000009</v>
      </c>
      <c r="AC37">
        <v>0.48867983199999998</v>
      </c>
      <c r="AD37">
        <v>-2.0502688999999998</v>
      </c>
      <c r="AE37">
        <v>-3.423234538</v>
      </c>
      <c r="AF37">
        <v>0</v>
      </c>
      <c r="AG37">
        <v>2</v>
      </c>
      <c r="AH37">
        <v>4.8309393999999999E-2</v>
      </c>
      <c r="AI37">
        <v>-1.6051329999999999E-2</v>
      </c>
      <c r="AJ37">
        <v>37</v>
      </c>
      <c r="AK37">
        <v>10</v>
      </c>
      <c r="AL37">
        <f t="shared" si="0"/>
        <v>0.58823529411764708</v>
      </c>
      <c r="AM37">
        <f t="shared" si="1"/>
        <v>0.27027027027027029</v>
      </c>
    </row>
    <row r="38" spans="1:39" x14ac:dyDescent="0.2">
      <c r="A38" t="s">
        <v>100</v>
      </c>
      <c r="B38" t="s">
        <v>49</v>
      </c>
      <c r="C38" t="s">
        <v>41</v>
      </c>
      <c r="D38" t="s">
        <v>49</v>
      </c>
      <c r="E38">
        <v>4.0839375880000004</v>
      </c>
      <c r="F38">
        <v>1.859520163</v>
      </c>
      <c r="G38">
        <v>-2.2244174249999999</v>
      </c>
      <c r="H38">
        <v>36</v>
      </c>
      <c r="I38">
        <v>20</v>
      </c>
      <c r="J38">
        <v>16</v>
      </c>
      <c r="K38">
        <v>0.55555555599999995</v>
      </c>
      <c r="L38">
        <v>18.631674</v>
      </c>
      <c r="M38">
        <v>10.386076920000001</v>
      </c>
      <c r="N38">
        <v>8.2455970809999997</v>
      </c>
      <c r="O38">
        <v>0.55744196199999996</v>
      </c>
      <c r="P38">
        <v>9.6139230819999995</v>
      </c>
      <c r="Q38">
        <v>7.7544029190000003</v>
      </c>
      <c r="R38">
        <v>3</v>
      </c>
      <c r="S38">
        <v>1</v>
      </c>
      <c r="T38">
        <v>2.2666269999999999E-2</v>
      </c>
      <c r="U38">
        <v>2.1129350000000002E-2</v>
      </c>
      <c r="V38">
        <v>19</v>
      </c>
      <c r="W38">
        <v>7</v>
      </c>
      <c r="X38">
        <v>12</v>
      </c>
      <c r="Y38">
        <v>0.368421053</v>
      </c>
      <c r="Z38">
        <v>16.29828157</v>
      </c>
      <c r="AA38">
        <v>6.7613494950000002</v>
      </c>
      <c r="AB38">
        <v>9.5369320700000006</v>
      </c>
      <c r="AC38">
        <v>0.41485045300000001</v>
      </c>
      <c r="AD38">
        <v>0.23865050500000001</v>
      </c>
      <c r="AE38">
        <v>2.4630679299999998</v>
      </c>
      <c r="AF38">
        <v>0</v>
      </c>
      <c r="AG38">
        <v>1</v>
      </c>
      <c r="AH38">
        <v>4.2777641999999998E-2</v>
      </c>
      <c r="AI38">
        <v>7.0911239999999999E-3</v>
      </c>
      <c r="AJ38">
        <v>61</v>
      </c>
      <c r="AK38">
        <v>24</v>
      </c>
      <c r="AL38">
        <f t="shared" si="0"/>
        <v>0.66666666666666663</v>
      </c>
      <c r="AM38">
        <f t="shared" si="1"/>
        <v>0.39344262295081966</v>
      </c>
    </row>
    <row r="39" spans="1:39" x14ac:dyDescent="0.2">
      <c r="A39" t="s">
        <v>101</v>
      </c>
      <c r="B39" t="s">
        <v>102</v>
      </c>
      <c r="C39" t="s">
        <v>41</v>
      </c>
      <c r="D39" t="s">
        <v>102</v>
      </c>
      <c r="E39">
        <v>1.961100681</v>
      </c>
      <c r="F39">
        <v>1.4382722489999999</v>
      </c>
      <c r="G39">
        <v>-0.52282843199999995</v>
      </c>
      <c r="H39">
        <v>13</v>
      </c>
      <c r="I39">
        <v>7</v>
      </c>
      <c r="J39">
        <v>6</v>
      </c>
      <c r="K39">
        <v>0.53846153799999996</v>
      </c>
      <c r="L39">
        <v>10.497794730000001</v>
      </c>
      <c r="M39">
        <v>5.02976124</v>
      </c>
      <c r="N39">
        <v>5.4680334889999997</v>
      </c>
      <c r="O39">
        <v>0.479125509</v>
      </c>
      <c r="P39">
        <v>1.97023876</v>
      </c>
      <c r="Q39">
        <v>0.53196651100000003</v>
      </c>
      <c r="R39">
        <v>1</v>
      </c>
      <c r="S39">
        <v>0</v>
      </c>
      <c r="T39">
        <v>1.7438196999999999E-2</v>
      </c>
      <c r="U39">
        <v>4.1564870000000004E-3</v>
      </c>
      <c r="V39">
        <v>7</v>
      </c>
      <c r="W39">
        <v>3</v>
      </c>
      <c r="X39">
        <v>4</v>
      </c>
      <c r="Y39">
        <v>0.428571429</v>
      </c>
      <c r="Z39">
        <v>9.5401642839999994</v>
      </c>
      <c r="AA39">
        <v>4.5314963580000001</v>
      </c>
      <c r="AB39">
        <v>5.0086679260000002</v>
      </c>
      <c r="AC39">
        <v>0.47499143900000002</v>
      </c>
      <c r="AD39">
        <v>-1.5314963580000001</v>
      </c>
      <c r="AE39">
        <v>-1.008667926</v>
      </c>
      <c r="AF39">
        <v>2</v>
      </c>
      <c r="AG39">
        <v>2</v>
      </c>
      <c r="AH39">
        <v>3.8313912999999998E-2</v>
      </c>
      <c r="AI39">
        <v>-1.0201462999999999E-2</v>
      </c>
      <c r="AJ39">
        <v>33</v>
      </c>
      <c r="AK39">
        <v>9</v>
      </c>
      <c r="AL39">
        <f t="shared" si="0"/>
        <v>0.69230769230769229</v>
      </c>
      <c r="AM39">
        <f t="shared" si="1"/>
        <v>0.27272727272727271</v>
      </c>
    </row>
    <row r="40" spans="1:39" x14ac:dyDescent="0.2">
      <c r="A40" t="s">
        <v>103</v>
      </c>
      <c r="B40" t="s">
        <v>99</v>
      </c>
      <c r="C40" t="s">
        <v>41</v>
      </c>
      <c r="D40" t="s">
        <v>99</v>
      </c>
      <c r="E40">
        <v>4.0622802370000004</v>
      </c>
      <c r="F40">
        <v>1.378698091</v>
      </c>
      <c r="G40">
        <v>-2.6835821449999999</v>
      </c>
      <c r="H40">
        <v>18</v>
      </c>
      <c r="I40">
        <v>10</v>
      </c>
      <c r="J40">
        <v>8</v>
      </c>
      <c r="K40">
        <v>0.55555555599999995</v>
      </c>
      <c r="L40">
        <v>16.744953899999999</v>
      </c>
      <c r="M40">
        <v>8.6831279059999993</v>
      </c>
      <c r="N40">
        <v>8.0618259979999998</v>
      </c>
      <c r="O40">
        <v>0.51855191499999997</v>
      </c>
      <c r="P40">
        <v>1.316872094</v>
      </c>
      <c r="Q40">
        <v>-6.1825998E-2</v>
      </c>
      <c r="R40">
        <v>4</v>
      </c>
      <c r="S40">
        <v>1</v>
      </c>
      <c r="T40">
        <v>2.0957389E-2</v>
      </c>
      <c r="U40">
        <v>1.5707710000000001E-3</v>
      </c>
      <c r="V40">
        <v>16</v>
      </c>
      <c r="W40">
        <v>7</v>
      </c>
      <c r="X40">
        <v>9</v>
      </c>
      <c r="Y40">
        <v>0.4375</v>
      </c>
      <c r="Z40">
        <v>19.104122690000001</v>
      </c>
      <c r="AA40">
        <v>9.8938524189999999</v>
      </c>
      <c r="AB40">
        <v>9.2102702730000008</v>
      </c>
      <c r="AC40">
        <v>0.51789095900000004</v>
      </c>
      <c r="AD40">
        <v>-2.8938524189999999</v>
      </c>
      <c r="AE40">
        <v>-0.21027027300000001</v>
      </c>
      <c r="AF40">
        <v>1</v>
      </c>
      <c r="AG40">
        <v>0</v>
      </c>
      <c r="AH40">
        <v>4.9492545999999998E-2</v>
      </c>
      <c r="AI40">
        <v>-8.0417690000000007E-3</v>
      </c>
      <c r="AJ40">
        <v>40</v>
      </c>
      <c r="AK40">
        <v>11</v>
      </c>
      <c r="AL40">
        <f t="shared" si="0"/>
        <v>0.61111111111111116</v>
      </c>
      <c r="AM40">
        <f t="shared" si="1"/>
        <v>0.27500000000000002</v>
      </c>
    </row>
    <row r="41" spans="1:39" x14ac:dyDescent="0.2">
      <c r="A41" t="s">
        <v>104</v>
      </c>
      <c r="B41" t="s">
        <v>69</v>
      </c>
      <c r="C41" t="s">
        <v>41</v>
      </c>
      <c r="D41" t="s">
        <v>69</v>
      </c>
      <c r="E41">
        <v>1.167089641</v>
      </c>
      <c r="F41">
        <v>1.2981596150000001</v>
      </c>
      <c r="G41">
        <v>0.13106997300000001</v>
      </c>
      <c r="H41">
        <v>1</v>
      </c>
      <c r="I41">
        <v>1</v>
      </c>
      <c r="J41">
        <v>0</v>
      </c>
      <c r="K41">
        <v>1</v>
      </c>
      <c r="L41">
        <v>1.3759601690000001</v>
      </c>
      <c r="M41">
        <v>0.53890027699999998</v>
      </c>
      <c r="N41">
        <v>0.83705989199999997</v>
      </c>
      <c r="O41">
        <v>0.39165398099999998</v>
      </c>
      <c r="P41">
        <v>0.46109972300000002</v>
      </c>
      <c r="Q41">
        <v>-0.83705989199999997</v>
      </c>
      <c r="R41">
        <v>0</v>
      </c>
      <c r="S41">
        <v>0</v>
      </c>
      <c r="T41">
        <v>1.1660679E-2</v>
      </c>
      <c r="U41">
        <v>-3.186103E-3</v>
      </c>
      <c r="V41">
        <v>1</v>
      </c>
      <c r="W41">
        <v>0</v>
      </c>
      <c r="X41">
        <v>1</v>
      </c>
      <c r="Z41">
        <v>1.6397159690000001</v>
      </c>
      <c r="AA41">
        <v>0.25432299800000002</v>
      </c>
      <c r="AB41">
        <v>1.3853929709999999</v>
      </c>
      <c r="AC41">
        <v>0.15510186100000001</v>
      </c>
      <c r="AD41">
        <v>-0.25432299800000002</v>
      </c>
      <c r="AE41">
        <v>-0.38539297099999997</v>
      </c>
      <c r="AF41">
        <v>0</v>
      </c>
      <c r="AG41">
        <v>0</v>
      </c>
      <c r="AH41">
        <v>2.9280641999999999E-2</v>
      </c>
      <c r="AI41">
        <v>-1.1423499E-2</v>
      </c>
      <c r="AJ41">
        <v>6</v>
      </c>
      <c r="AK41">
        <v>1</v>
      </c>
      <c r="AL41">
        <f t="shared" si="0"/>
        <v>1</v>
      </c>
      <c r="AM41">
        <f t="shared" si="1"/>
        <v>0.16666666666666666</v>
      </c>
    </row>
    <row r="42" spans="1:39" x14ac:dyDescent="0.2">
      <c r="A42" t="s">
        <v>105</v>
      </c>
      <c r="B42" t="s">
        <v>86</v>
      </c>
      <c r="C42" t="s">
        <v>41</v>
      </c>
      <c r="D42" t="s">
        <v>86</v>
      </c>
      <c r="E42">
        <v>-3.0390444150000002</v>
      </c>
      <c r="F42">
        <v>1.2378560059999999</v>
      </c>
      <c r="G42">
        <v>4.2769004219999998</v>
      </c>
      <c r="H42">
        <v>12</v>
      </c>
      <c r="I42">
        <v>4</v>
      </c>
      <c r="J42">
        <v>8</v>
      </c>
      <c r="K42">
        <v>0.33333333300000001</v>
      </c>
      <c r="L42">
        <v>21.302629100000001</v>
      </c>
      <c r="M42">
        <v>8.0323865449999996</v>
      </c>
      <c r="N42">
        <v>13.270242550000001</v>
      </c>
      <c r="O42">
        <v>0.37706080800000003</v>
      </c>
      <c r="P42">
        <v>-4.0323865449999996</v>
      </c>
      <c r="Q42">
        <v>-5.270242552</v>
      </c>
      <c r="R42">
        <v>2</v>
      </c>
      <c r="S42">
        <v>0</v>
      </c>
      <c r="T42">
        <v>1.8818577E-2</v>
      </c>
      <c r="U42">
        <v>-8.2178700000000004E-3</v>
      </c>
      <c r="V42">
        <v>20</v>
      </c>
      <c r="W42">
        <v>10</v>
      </c>
      <c r="X42">
        <v>10</v>
      </c>
      <c r="Y42">
        <v>0.5</v>
      </c>
      <c r="Z42">
        <v>23.70699978</v>
      </c>
      <c r="AA42">
        <v>9.7150496779999997</v>
      </c>
      <c r="AB42">
        <v>13.9919501</v>
      </c>
      <c r="AC42">
        <v>0.409796675</v>
      </c>
      <c r="AD42">
        <v>0.28495032199999998</v>
      </c>
      <c r="AE42">
        <v>-3.9919500989999999</v>
      </c>
      <c r="AF42">
        <v>2</v>
      </c>
      <c r="AG42">
        <v>2</v>
      </c>
      <c r="AH42">
        <v>4.4065054999999999E-2</v>
      </c>
      <c r="AI42">
        <v>-6.8903339999999997E-3</v>
      </c>
      <c r="AJ42">
        <v>66</v>
      </c>
      <c r="AK42">
        <v>9</v>
      </c>
      <c r="AL42">
        <f t="shared" si="0"/>
        <v>0.75</v>
      </c>
      <c r="AM42">
        <f t="shared" si="1"/>
        <v>0.13636363636363635</v>
      </c>
    </row>
    <row r="43" spans="1:39" x14ac:dyDescent="0.2">
      <c r="A43" t="s">
        <v>106</v>
      </c>
      <c r="B43" t="s">
        <v>107</v>
      </c>
      <c r="C43" t="s">
        <v>41</v>
      </c>
      <c r="D43" t="s">
        <v>107</v>
      </c>
      <c r="E43">
        <v>0.93555849099999999</v>
      </c>
      <c r="F43">
        <v>1.221116976</v>
      </c>
      <c r="G43">
        <v>0.28555848499999997</v>
      </c>
      <c r="H43">
        <v>8</v>
      </c>
      <c r="I43">
        <v>5</v>
      </c>
      <c r="J43">
        <v>3</v>
      </c>
      <c r="K43">
        <v>0.625</v>
      </c>
      <c r="L43">
        <v>10.52263937</v>
      </c>
      <c r="M43">
        <v>5.6507611960000004</v>
      </c>
      <c r="N43">
        <v>4.8718781719999997</v>
      </c>
      <c r="O43">
        <v>0.53700987</v>
      </c>
      <c r="P43">
        <v>-0.65076119600000004</v>
      </c>
      <c r="Q43">
        <v>-1.871878172</v>
      </c>
      <c r="R43">
        <v>1</v>
      </c>
      <c r="S43">
        <v>1</v>
      </c>
      <c r="T43">
        <v>1.9779397000000001E-2</v>
      </c>
      <c r="U43">
        <v>-4.7418030000000002E-3</v>
      </c>
      <c r="V43">
        <v>9</v>
      </c>
      <c r="W43">
        <v>4</v>
      </c>
      <c r="X43">
        <v>5</v>
      </c>
      <c r="Y43">
        <v>0.44444444399999999</v>
      </c>
      <c r="Z43">
        <v>6.1453676379999997</v>
      </c>
      <c r="AA43">
        <v>2.4299045760000002</v>
      </c>
      <c r="AB43">
        <v>3.715463062</v>
      </c>
      <c r="AC43">
        <v>0.39540426499999998</v>
      </c>
      <c r="AD43">
        <v>1.570095424</v>
      </c>
      <c r="AE43">
        <v>1.284536938</v>
      </c>
      <c r="AF43">
        <v>0</v>
      </c>
      <c r="AG43">
        <v>0</v>
      </c>
      <c r="AH43">
        <v>3.0573968E-2</v>
      </c>
      <c r="AI43">
        <v>1.4202151E-2</v>
      </c>
      <c r="AJ43">
        <v>32</v>
      </c>
      <c r="AK43">
        <v>6</v>
      </c>
      <c r="AL43">
        <f t="shared" si="0"/>
        <v>0.75</v>
      </c>
      <c r="AM43">
        <f t="shared" si="1"/>
        <v>0.1875</v>
      </c>
    </row>
    <row r="44" spans="1:39" x14ac:dyDescent="0.2">
      <c r="A44" t="s">
        <v>108</v>
      </c>
      <c r="B44" t="s">
        <v>59</v>
      </c>
      <c r="C44" t="s">
        <v>41</v>
      </c>
      <c r="D44" t="s">
        <v>59</v>
      </c>
      <c r="E44">
        <v>-2.422557732</v>
      </c>
      <c r="F44">
        <v>1.174944985</v>
      </c>
      <c r="G44">
        <v>3.5975027169999998</v>
      </c>
      <c r="H44">
        <v>7</v>
      </c>
      <c r="I44">
        <v>5</v>
      </c>
      <c r="J44">
        <v>2</v>
      </c>
      <c r="K44">
        <v>0.71428571399999996</v>
      </c>
      <c r="L44">
        <v>9.8769564269999996</v>
      </c>
      <c r="M44">
        <v>5.8510057209999999</v>
      </c>
      <c r="N44">
        <v>4.0259507059999997</v>
      </c>
      <c r="O44">
        <v>0.59238954499999996</v>
      </c>
      <c r="P44">
        <v>-0.85100572100000005</v>
      </c>
      <c r="Q44">
        <v>-2.0259507060000002</v>
      </c>
      <c r="R44">
        <v>0</v>
      </c>
      <c r="S44">
        <v>0</v>
      </c>
      <c r="T44">
        <v>2.0881515E-2</v>
      </c>
      <c r="U44">
        <v>-6.0823600000000002E-3</v>
      </c>
      <c r="V44">
        <v>15</v>
      </c>
      <c r="W44">
        <v>8</v>
      </c>
      <c r="X44">
        <v>7</v>
      </c>
      <c r="Y44">
        <v>0.53333333299999997</v>
      </c>
      <c r="Z44">
        <v>12.079426850000001</v>
      </c>
      <c r="AA44">
        <v>4.740962068</v>
      </c>
      <c r="AB44">
        <v>7.3384647850000002</v>
      </c>
      <c r="AC44">
        <v>0.392482369</v>
      </c>
      <c r="AD44">
        <v>3.259037932</v>
      </c>
      <c r="AE44">
        <v>-0.33846478499999999</v>
      </c>
      <c r="AF44">
        <v>3</v>
      </c>
      <c r="AG44">
        <v>1</v>
      </c>
      <c r="AH44">
        <v>4.8707366000000002E-2</v>
      </c>
      <c r="AI44">
        <v>1.1776505E-2</v>
      </c>
      <c r="AJ44">
        <v>35</v>
      </c>
      <c r="AL44">
        <f t="shared" si="0"/>
        <v>0</v>
      </c>
      <c r="AM44">
        <f t="shared" si="1"/>
        <v>0</v>
      </c>
    </row>
    <row r="45" spans="1:39" x14ac:dyDescent="0.2">
      <c r="A45" t="s">
        <v>109</v>
      </c>
      <c r="B45" t="s">
        <v>99</v>
      </c>
      <c r="C45" t="s">
        <v>41</v>
      </c>
      <c r="D45" t="s">
        <v>99</v>
      </c>
      <c r="E45">
        <v>3.2810102739999998</v>
      </c>
      <c r="F45">
        <v>1.1594540579999999</v>
      </c>
      <c r="G45">
        <v>-2.1215562160000001</v>
      </c>
      <c r="H45">
        <v>3</v>
      </c>
      <c r="I45">
        <v>2</v>
      </c>
      <c r="J45">
        <v>1</v>
      </c>
      <c r="K45">
        <v>0.66666666699999999</v>
      </c>
      <c r="L45">
        <v>3.431139935</v>
      </c>
      <c r="M45">
        <v>1.635842939</v>
      </c>
      <c r="N45">
        <v>1.795296996</v>
      </c>
      <c r="O45">
        <v>0.47676369099999999</v>
      </c>
      <c r="P45">
        <v>0.364157061</v>
      </c>
      <c r="Q45">
        <v>-0.79529699600000003</v>
      </c>
      <c r="R45">
        <v>2</v>
      </c>
      <c r="S45">
        <v>0</v>
      </c>
      <c r="T45">
        <v>1.2661033E-2</v>
      </c>
      <c r="U45">
        <v>-1.590922E-3</v>
      </c>
      <c r="V45">
        <v>1</v>
      </c>
      <c r="W45">
        <v>0</v>
      </c>
      <c r="X45">
        <v>1</v>
      </c>
      <c r="Z45">
        <v>6.4577238990000003</v>
      </c>
      <c r="AA45">
        <v>3.7896400579999998</v>
      </c>
      <c r="AB45">
        <v>2.6680838420000001</v>
      </c>
      <c r="AC45">
        <v>0.58683835299999998</v>
      </c>
      <c r="AD45">
        <v>-3.7896400579999998</v>
      </c>
      <c r="AE45">
        <v>-1.6680838419999999</v>
      </c>
      <c r="AF45">
        <v>0</v>
      </c>
      <c r="AG45">
        <v>0</v>
      </c>
      <c r="AH45">
        <v>6.0921924000000002E-2</v>
      </c>
      <c r="AI45">
        <v>-5.1487960999999999E-2</v>
      </c>
      <c r="AJ45">
        <v>9</v>
      </c>
      <c r="AK45">
        <v>2</v>
      </c>
      <c r="AL45">
        <f t="shared" si="0"/>
        <v>0.66666666666666663</v>
      </c>
      <c r="AM45">
        <f t="shared" si="1"/>
        <v>0.22222222222222221</v>
      </c>
    </row>
    <row r="46" spans="1:39" x14ac:dyDescent="0.2">
      <c r="A46" t="s">
        <v>110</v>
      </c>
      <c r="B46" t="s">
        <v>93</v>
      </c>
      <c r="C46" t="s">
        <v>41</v>
      </c>
      <c r="D46" t="s">
        <v>93</v>
      </c>
      <c r="E46">
        <v>0.929505998</v>
      </c>
      <c r="F46">
        <v>1.1457239050000001</v>
      </c>
      <c r="G46">
        <v>0.21621790699999999</v>
      </c>
      <c r="H46">
        <v>2</v>
      </c>
      <c r="I46">
        <v>2</v>
      </c>
      <c r="J46">
        <v>0</v>
      </c>
      <c r="K46">
        <v>1</v>
      </c>
      <c r="L46">
        <v>1.541054637</v>
      </c>
      <c r="M46">
        <v>1.1976653660000001</v>
      </c>
      <c r="N46">
        <v>0.343389271</v>
      </c>
      <c r="O46">
        <v>0.77717255299999999</v>
      </c>
      <c r="P46">
        <v>0.80233463400000005</v>
      </c>
      <c r="Q46">
        <v>-0.343389271</v>
      </c>
      <c r="R46">
        <v>1</v>
      </c>
      <c r="S46">
        <v>0</v>
      </c>
      <c r="T46">
        <v>2.8538048999999999E-2</v>
      </c>
      <c r="U46">
        <v>8.4989880000000007E-3</v>
      </c>
      <c r="V46">
        <v>0</v>
      </c>
      <c r="W46">
        <v>0</v>
      </c>
      <c r="X46">
        <v>0</v>
      </c>
      <c r="Z46">
        <v>0.45913362800000002</v>
      </c>
      <c r="AA46">
        <v>0.121457861</v>
      </c>
      <c r="AB46">
        <v>0.33767576700000002</v>
      </c>
      <c r="AC46">
        <v>0.26453706100000002</v>
      </c>
      <c r="AD46">
        <v>-0.121457861</v>
      </c>
      <c r="AE46">
        <v>-0.33767576700000002</v>
      </c>
      <c r="AF46">
        <v>0</v>
      </c>
      <c r="AG46">
        <v>0</v>
      </c>
      <c r="AH46">
        <v>2.5507424000000001E-2</v>
      </c>
      <c r="AI46">
        <v>-2.5507424000000001E-2</v>
      </c>
      <c r="AJ46">
        <v>7</v>
      </c>
      <c r="AK46">
        <v>2</v>
      </c>
      <c r="AL46">
        <f t="shared" si="0"/>
        <v>1</v>
      </c>
      <c r="AM46">
        <f t="shared" si="1"/>
        <v>0.2857142857142857</v>
      </c>
    </row>
    <row r="47" spans="1:39" x14ac:dyDescent="0.2">
      <c r="A47" t="s">
        <v>111</v>
      </c>
      <c r="B47" t="s">
        <v>83</v>
      </c>
      <c r="C47" t="s">
        <v>41</v>
      </c>
      <c r="D47" t="s">
        <v>83</v>
      </c>
      <c r="E47">
        <v>-3.7648311639999998</v>
      </c>
      <c r="F47">
        <v>1.113538854</v>
      </c>
      <c r="G47">
        <v>4.878370018</v>
      </c>
      <c r="H47">
        <v>9</v>
      </c>
      <c r="I47">
        <v>6</v>
      </c>
      <c r="J47">
        <v>3</v>
      </c>
      <c r="K47">
        <v>0.66666666699999999</v>
      </c>
      <c r="L47">
        <v>14.56822712</v>
      </c>
      <c r="M47">
        <v>8.2273441310000006</v>
      </c>
      <c r="N47">
        <v>6.3408829850000004</v>
      </c>
      <c r="O47">
        <v>0.56474573500000003</v>
      </c>
      <c r="P47">
        <v>-2.2273441310000002</v>
      </c>
      <c r="Q47">
        <v>-3.3408829849999999</v>
      </c>
      <c r="R47">
        <v>0</v>
      </c>
      <c r="S47">
        <v>0</v>
      </c>
      <c r="T47">
        <v>1.9983851E-2</v>
      </c>
      <c r="U47">
        <v>-7.6381720000000004E-3</v>
      </c>
      <c r="V47">
        <v>13</v>
      </c>
      <c r="W47">
        <v>8</v>
      </c>
      <c r="X47">
        <v>5</v>
      </c>
      <c r="Y47">
        <v>0.61538461499999997</v>
      </c>
      <c r="Z47">
        <v>14.42302282</v>
      </c>
      <c r="AA47">
        <v>6.2723263989999998</v>
      </c>
      <c r="AB47">
        <v>8.1506964170000007</v>
      </c>
      <c r="AC47">
        <v>0.434882928</v>
      </c>
      <c r="AD47">
        <v>1.727673601</v>
      </c>
      <c r="AE47">
        <v>-3.1506964169999998</v>
      </c>
      <c r="AF47">
        <v>4</v>
      </c>
      <c r="AG47">
        <v>2</v>
      </c>
      <c r="AH47">
        <v>4.6376278999999999E-2</v>
      </c>
      <c r="AI47">
        <v>-4.5756360000000001E-3</v>
      </c>
      <c r="AJ47">
        <v>37</v>
      </c>
      <c r="AK47">
        <v>6</v>
      </c>
      <c r="AL47">
        <f t="shared" si="0"/>
        <v>0.66666666666666663</v>
      </c>
      <c r="AM47">
        <f t="shared" si="1"/>
        <v>0.16216216216216217</v>
      </c>
    </row>
    <row r="48" spans="1:39" x14ac:dyDescent="0.2">
      <c r="A48" t="s">
        <v>112</v>
      </c>
      <c r="B48" t="s">
        <v>61</v>
      </c>
      <c r="C48" t="s">
        <v>41</v>
      </c>
      <c r="D48" t="s">
        <v>61</v>
      </c>
      <c r="E48">
        <v>9.1904173000000006E-2</v>
      </c>
      <c r="F48">
        <v>0.90417471000000005</v>
      </c>
      <c r="G48">
        <v>0.81227053699999996</v>
      </c>
      <c r="H48">
        <v>5</v>
      </c>
      <c r="I48">
        <v>3</v>
      </c>
      <c r="J48">
        <v>2</v>
      </c>
      <c r="K48">
        <v>0.6</v>
      </c>
      <c r="L48">
        <v>2.6294363509999998</v>
      </c>
      <c r="M48">
        <v>1.3626308199999999</v>
      </c>
      <c r="N48">
        <v>1.2668055300000001</v>
      </c>
      <c r="O48">
        <v>0.51822164100000001</v>
      </c>
      <c r="P48">
        <v>1.6373691800000001</v>
      </c>
      <c r="Q48">
        <v>0.73319447000000004</v>
      </c>
      <c r="R48">
        <v>1</v>
      </c>
      <c r="S48">
        <v>0</v>
      </c>
      <c r="T48">
        <v>4.7807934000000003E-2</v>
      </c>
      <c r="U48">
        <v>4.3101157000000001E-2</v>
      </c>
      <c r="V48">
        <v>1</v>
      </c>
      <c r="W48">
        <v>1</v>
      </c>
      <c r="X48">
        <v>0</v>
      </c>
      <c r="Y48">
        <v>1</v>
      </c>
      <c r="Z48">
        <v>1.5116327949999999</v>
      </c>
      <c r="AA48">
        <v>0.84968112900000003</v>
      </c>
      <c r="AB48">
        <v>0.66195166599999999</v>
      </c>
      <c r="AC48">
        <v>0.56209492900000002</v>
      </c>
      <c r="AD48">
        <v>0.15031887099999999</v>
      </c>
      <c r="AE48">
        <v>-0.66195166599999999</v>
      </c>
      <c r="AF48">
        <v>0</v>
      </c>
      <c r="AG48">
        <v>0</v>
      </c>
      <c r="AH48">
        <v>4.1989800000000001E-2</v>
      </c>
      <c r="AI48">
        <v>-1.4212022E-2</v>
      </c>
      <c r="AJ48">
        <v>8</v>
      </c>
      <c r="AK48">
        <v>5</v>
      </c>
      <c r="AL48">
        <f t="shared" si="0"/>
        <v>1</v>
      </c>
      <c r="AM48">
        <f t="shared" si="1"/>
        <v>0.625</v>
      </c>
    </row>
    <row r="49" spans="1:39" x14ac:dyDescent="0.2">
      <c r="A49" t="s">
        <v>113</v>
      </c>
      <c r="B49" t="s">
        <v>90</v>
      </c>
      <c r="C49" t="s">
        <v>41</v>
      </c>
      <c r="D49" t="s">
        <v>90</v>
      </c>
      <c r="E49">
        <v>-4.4168648529999999</v>
      </c>
      <c r="F49">
        <v>0.76101753599999999</v>
      </c>
      <c r="G49">
        <v>5.1778823889999996</v>
      </c>
      <c r="H49">
        <v>10</v>
      </c>
      <c r="I49">
        <v>5</v>
      </c>
      <c r="J49">
        <v>5</v>
      </c>
      <c r="K49">
        <v>0.5</v>
      </c>
      <c r="L49">
        <v>17.968252580000001</v>
      </c>
      <c r="M49">
        <v>8.6036175210000003</v>
      </c>
      <c r="N49">
        <v>9.3646350569999992</v>
      </c>
      <c r="O49">
        <v>0.47882327400000002</v>
      </c>
      <c r="P49">
        <v>-3.6036175209999999</v>
      </c>
      <c r="Q49">
        <v>-4.3646350570000001</v>
      </c>
      <c r="R49">
        <v>2</v>
      </c>
      <c r="S49">
        <v>0</v>
      </c>
      <c r="T49">
        <v>2.7686058999999999E-2</v>
      </c>
      <c r="U49">
        <v>-1.2277738999999999E-2</v>
      </c>
      <c r="V49">
        <v>14</v>
      </c>
      <c r="W49">
        <v>8</v>
      </c>
      <c r="X49">
        <v>6</v>
      </c>
      <c r="Y49">
        <v>0.571428571</v>
      </c>
      <c r="Z49">
        <v>12.97508946</v>
      </c>
      <c r="AA49">
        <v>4.8986035330000002</v>
      </c>
      <c r="AB49">
        <v>8.0764859219999998</v>
      </c>
      <c r="AC49">
        <v>0.37753909499999999</v>
      </c>
      <c r="AD49">
        <v>3.1013964669999998</v>
      </c>
      <c r="AE49">
        <v>-2.0764859219999998</v>
      </c>
      <c r="AF49">
        <v>1</v>
      </c>
      <c r="AG49">
        <v>1</v>
      </c>
      <c r="AH49">
        <v>4.3540569000000001E-2</v>
      </c>
      <c r="AI49">
        <v>3.439297E-3</v>
      </c>
      <c r="AJ49">
        <v>40</v>
      </c>
      <c r="AK49">
        <v>5</v>
      </c>
      <c r="AL49">
        <f t="shared" si="0"/>
        <v>0.5</v>
      </c>
      <c r="AM49">
        <f t="shared" si="1"/>
        <v>0.125</v>
      </c>
    </row>
    <row r="50" spans="1:39" x14ac:dyDescent="0.2">
      <c r="A50" t="s">
        <v>114</v>
      </c>
      <c r="B50" t="s">
        <v>115</v>
      </c>
      <c r="C50" t="s">
        <v>41</v>
      </c>
      <c r="D50" t="s">
        <v>115</v>
      </c>
      <c r="E50">
        <v>1.420405989</v>
      </c>
      <c r="F50">
        <v>0.51771283599999995</v>
      </c>
      <c r="G50">
        <v>-0.90269315400000005</v>
      </c>
      <c r="H50">
        <v>19</v>
      </c>
      <c r="I50">
        <v>11</v>
      </c>
      <c r="J50">
        <v>8</v>
      </c>
      <c r="K50">
        <v>0.57894736800000002</v>
      </c>
      <c r="L50">
        <v>24.955183529999999</v>
      </c>
      <c r="M50">
        <v>13.718735349999999</v>
      </c>
      <c r="N50">
        <v>11.23644818</v>
      </c>
      <c r="O50">
        <v>0.549734901</v>
      </c>
      <c r="P50">
        <v>-2.7187353490000001</v>
      </c>
      <c r="Q50">
        <v>-3.2364481839999999</v>
      </c>
      <c r="R50">
        <v>5</v>
      </c>
      <c r="S50">
        <v>2</v>
      </c>
      <c r="T50">
        <v>2.1256545000000002E-2</v>
      </c>
      <c r="U50">
        <v>-5.0725579999999996E-3</v>
      </c>
      <c r="V50">
        <v>22</v>
      </c>
      <c r="W50">
        <v>6</v>
      </c>
      <c r="X50">
        <v>16</v>
      </c>
      <c r="Y50">
        <v>0.27272727299999999</v>
      </c>
      <c r="Z50">
        <v>25.322702159999999</v>
      </c>
      <c r="AA50">
        <v>8.1126976580000001</v>
      </c>
      <c r="AB50">
        <v>17.2100045</v>
      </c>
      <c r="AC50">
        <v>0.32037251</v>
      </c>
      <c r="AD50">
        <v>-2.1126976580000001</v>
      </c>
      <c r="AE50">
        <v>-1.2100045049999999</v>
      </c>
      <c r="AF50">
        <v>1</v>
      </c>
      <c r="AG50">
        <v>0</v>
      </c>
      <c r="AH50">
        <v>4.5957717000000002E-2</v>
      </c>
      <c r="AI50">
        <v>-6.0303120000000003E-3</v>
      </c>
      <c r="AJ50">
        <v>78</v>
      </c>
      <c r="AK50">
        <v>12</v>
      </c>
      <c r="AL50">
        <f t="shared" si="0"/>
        <v>0.63157894736842102</v>
      </c>
      <c r="AM50">
        <f t="shared" si="1"/>
        <v>0.15384615384615385</v>
      </c>
    </row>
    <row r="51" spans="1:39" x14ac:dyDescent="0.2">
      <c r="A51" t="s">
        <v>116</v>
      </c>
      <c r="B51" t="s">
        <v>71</v>
      </c>
      <c r="C51" t="s">
        <v>41</v>
      </c>
      <c r="D51" t="s">
        <v>71</v>
      </c>
      <c r="E51">
        <v>2.0186367079999998</v>
      </c>
      <c r="F51">
        <v>0.41961332699999998</v>
      </c>
      <c r="G51">
        <v>-1.5990233810000001</v>
      </c>
      <c r="H51">
        <v>1</v>
      </c>
      <c r="I51">
        <v>1</v>
      </c>
      <c r="J51">
        <v>0</v>
      </c>
      <c r="K51">
        <v>1</v>
      </c>
      <c r="L51">
        <v>1.823285311</v>
      </c>
      <c r="M51">
        <v>1.2018359919999999</v>
      </c>
      <c r="N51">
        <v>0.621449319</v>
      </c>
      <c r="O51">
        <v>0.65915958699999999</v>
      </c>
      <c r="P51">
        <v>-0.20183599199999999</v>
      </c>
      <c r="Q51">
        <v>-0.621449319</v>
      </c>
      <c r="R51">
        <v>1</v>
      </c>
      <c r="S51">
        <v>0</v>
      </c>
      <c r="T51">
        <v>1.8417023000000001E-2</v>
      </c>
      <c r="U51">
        <v>-8.3160130000000006E-3</v>
      </c>
      <c r="V51">
        <v>2</v>
      </c>
      <c r="W51">
        <v>0</v>
      </c>
      <c r="X51">
        <v>2</v>
      </c>
      <c r="Z51">
        <v>2.4662633349999998</v>
      </c>
      <c r="AA51">
        <v>1.0326433580000001</v>
      </c>
      <c r="AB51">
        <v>1.433619977</v>
      </c>
      <c r="AC51">
        <v>0.41870766300000001</v>
      </c>
      <c r="AD51">
        <v>-1.0326433580000001</v>
      </c>
      <c r="AE51">
        <v>0.56638002300000001</v>
      </c>
      <c r="AF51">
        <v>0</v>
      </c>
      <c r="AG51">
        <v>0</v>
      </c>
      <c r="AH51">
        <v>3.8535365000000002E-2</v>
      </c>
      <c r="AI51">
        <v>-7.2853650000000002E-3</v>
      </c>
      <c r="AJ51">
        <v>5</v>
      </c>
      <c r="AK51">
        <v>1</v>
      </c>
      <c r="AL51">
        <f t="shared" si="0"/>
        <v>1</v>
      </c>
      <c r="AM51">
        <f t="shared" si="1"/>
        <v>0.2</v>
      </c>
    </row>
    <row r="52" spans="1:39" x14ac:dyDescent="0.2">
      <c r="A52" t="s">
        <v>117</v>
      </c>
      <c r="B52" t="s">
        <v>69</v>
      </c>
      <c r="C52" t="s">
        <v>41</v>
      </c>
      <c r="D52" t="s">
        <v>69</v>
      </c>
      <c r="E52">
        <v>-4.4601194900000003</v>
      </c>
      <c r="F52">
        <v>0.41212457899999999</v>
      </c>
      <c r="G52">
        <v>4.8722440679999997</v>
      </c>
      <c r="H52">
        <v>5</v>
      </c>
      <c r="I52">
        <v>2</v>
      </c>
      <c r="J52">
        <v>3</v>
      </c>
      <c r="K52">
        <v>0.4</v>
      </c>
      <c r="L52">
        <v>4.5763736819999998</v>
      </c>
      <c r="M52">
        <v>1.582124552</v>
      </c>
      <c r="N52">
        <v>2.9942491310000001</v>
      </c>
      <c r="O52">
        <v>0.34571576999999998</v>
      </c>
      <c r="P52">
        <v>0.41787544799999998</v>
      </c>
      <c r="Q52">
        <v>5.7508689999999996E-3</v>
      </c>
      <c r="R52">
        <v>1</v>
      </c>
      <c r="S52">
        <v>1</v>
      </c>
      <c r="T52">
        <v>1.7012541999999999E-2</v>
      </c>
      <c r="U52">
        <v>1.5748190000000001E-3</v>
      </c>
      <c r="V52">
        <v>4</v>
      </c>
      <c r="W52">
        <v>4</v>
      </c>
      <c r="X52">
        <v>0</v>
      </c>
      <c r="Y52">
        <v>1</v>
      </c>
      <c r="Z52">
        <v>6.8411724769999998</v>
      </c>
      <c r="AA52">
        <v>2.984464204</v>
      </c>
      <c r="AB52">
        <v>3.8567082730000002</v>
      </c>
      <c r="AC52">
        <v>0.43625039599999998</v>
      </c>
      <c r="AD52">
        <v>1.015535796</v>
      </c>
      <c r="AE52">
        <v>-3.8567082730000002</v>
      </c>
      <c r="AF52">
        <v>1</v>
      </c>
      <c r="AG52">
        <v>1</v>
      </c>
      <c r="AH52">
        <v>5.0302738999999999E-2</v>
      </c>
      <c r="AI52">
        <v>-2.0890974E-2</v>
      </c>
      <c r="AJ52">
        <v>11</v>
      </c>
      <c r="AK52">
        <v>3</v>
      </c>
      <c r="AL52">
        <f t="shared" si="0"/>
        <v>0.6</v>
      </c>
      <c r="AM52">
        <f t="shared" si="1"/>
        <v>0.27272727272727271</v>
      </c>
    </row>
    <row r="53" spans="1:39" x14ac:dyDescent="0.2">
      <c r="A53" t="s">
        <v>118</v>
      </c>
      <c r="B53" t="s">
        <v>119</v>
      </c>
      <c r="C53" t="s">
        <v>41</v>
      </c>
      <c r="D53" t="s">
        <v>119</v>
      </c>
      <c r="E53">
        <v>1.8695772909999999</v>
      </c>
      <c r="F53">
        <v>0.37588723400000001</v>
      </c>
      <c r="G53">
        <v>-1.493690057</v>
      </c>
      <c r="H53">
        <v>14</v>
      </c>
      <c r="I53">
        <v>8</v>
      </c>
      <c r="J53">
        <v>6</v>
      </c>
      <c r="K53">
        <v>0.571428571</v>
      </c>
      <c r="L53">
        <v>14.323966240000001</v>
      </c>
      <c r="M53">
        <v>7.9740395040000003</v>
      </c>
      <c r="N53">
        <v>6.3499267389999998</v>
      </c>
      <c r="O53">
        <v>0.55669214600000005</v>
      </c>
      <c r="P53">
        <v>2.5960496E-2</v>
      </c>
      <c r="Q53">
        <v>-0.34992673899999999</v>
      </c>
      <c r="R53">
        <v>2</v>
      </c>
      <c r="S53">
        <v>0</v>
      </c>
      <c r="T53">
        <v>2.4033499999999999E-2</v>
      </c>
      <c r="U53">
        <v>-5.4356800000000002E-4</v>
      </c>
      <c r="V53">
        <v>17</v>
      </c>
      <c r="W53">
        <v>6</v>
      </c>
      <c r="X53">
        <v>11</v>
      </c>
      <c r="Y53">
        <v>0.35294117600000002</v>
      </c>
      <c r="Z53">
        <v>14.40386275</v>
      </c>
      <c r="AA53">
        <v>5.4487764009999999</v>
      </c>
      <c r="AB53">
        <v>8.9550863439999997</v>
      </c>
      <c r="AC53">
        <v>0.37828577600000002</v>
      </c>
      <c r="AD53">
        <v>0.55122359899999995</v>
      </c>
      <c r="AE53">
        <v>2.0449136559999999</v>
      </c>
      <c r="AF53">
        <v>1</v>
      </c>
      <c r="AG53">
        <v>0</v>
      </c>
      <c r="AH53">
        <v>5.2761401999999999E-2</v>
      </c>
      <c r="AI53">
        <v>9.5096599999999996E-3</v>
      </c>
      <c r="AJ53">
        <v>36</v>
      </c>
      <c r="AK53">
        <v>10</v>
      </c>
      <c r="AL53">
        <f t="shared" si="0"/>
        <v>0.7142857142857143</v>
      </c>
      <c r="AM53">
        <f t="shared" si="1"/>
        <v>0.27777777777777779</v>
      </c>
    </row>
    <row r="54" spans="1:39" x14ac:dyDescent="0.2">
      <c r="A54" t="s">
        <v>120</v>
      </c>
      <c r="B54" t="s">
        <v>121</v>
      </c>
      <c r="C54" t="s">
        <v>41</v>
      </c>
      <c r="D54" t="s">
        <v>121</v>
      </c>
      <c r="E54">
        <v>-3.0395585559999998</v>
      </c>
      <c r="F54">
        <v>9.1554776000000004E-2</v>
      </c>
      <c r="G54">
        <v>3.1311133309999999</v>
      </c>
      <c r="H54">
        <v>19</v>
      </c>
      <c r="I54">
        <v>8</v>
      </c>
      <c r="J54">
        <v>11</v>
      </c>
      <c r="K54">
        <v>0.42105263199999998</v>
      </c>
      <c r="L54">
        <v>18.848112839999999</v>
      </c>
      <c r="M54">
        <v>7.8782790330000001</v>
      </c>
      <c r="N54">
        <v>10.969833810000001</v>
      </c>
      <c r="O54">
        <v>0.41798768400000003</v>
      </c>
      <c r="P54">
        <v>0.121720967</v>
      </c>
      <c r="Q54">
        <v>3.0166192000000001E-2</v>
      </c>
      <c r="R54">
        <v>1</v>
      </c>
      <c r="S54">
        <v>0</v>
      </c>
      <c r="T54">
        <v>1.9674438999999998E-2</v>
      </c>
      <c r="U54">
        <v>1.58546E-4</v>
      </c>
      <c r="V54">
        <v>22</v>
      </c>
      <c r="W54">
        <v>12</v>
      </c>
      <c r="X54">
        <v>10</v>
      </c>
      <c r="Y54">
        <v>0.54545454500000001</v>
      </c>
      <c r="Z54">
        <v>21.821613679999999</v>
      </c>
      <c r="AA54">
        <v>10.34525017</v>
      </c>
      <c r="AB54">
        <v>11.476363510000001</v>
      </c>
      <c r="AC54">
        <v>0.47408272899999998</v>
      </c>
      <c r="AD54">
        <v>1.6547498249999999</v>
      </c>
      <c r="AE54">
        <v>-1.476363506</v>
      </c>
      <c r="AF54">
        <v>4</v>
      </c>
      <c r="AG54">
        <v>1</v>
      </c>
      <c r="AH54">
        <v>4.6428965000000003E-2</v>
      </c>
      <c r="AI54">
        <v>3.7954500000000001E-4</v>
      </c>
      <c r="AJ54">
        <v>59</v>
      </c>
      <c r="AK54">
        <v>8</v>
      </c>
      <c r="AL54">
        <f t="shared" si="0"/>
        <v>0.42105263157894735</v>
      </c>
      <c r="AM54">
        <f t="shared" si="1"/>
        <v>0.13559322033898305</v>
      </c>
    </row>
    <row r="55" spans="1:39" x14ac:dyDescent="0.2">
      <c r="A55" t="s">
        <v>122</v>
      </c>
      <c r="B55" t="s">
        <v>57</v>
      </c>
      <c r="C55" t="s">
        <v>41</v>
      </c>
      <c r="D55" t="s">
        <v>57</v>
      </c>
      <c r="E55">
        <v>-1.616601285</v>
      </c>
      <c r="F55">
        <v>-0.36363489199999999</v>
      </c>
      <c r="G55">
        <v>1.2529663929999999</v>
      </c>
      <c r="H55">
        <v>2</v>
      </c>
      <c r="I55">
        <v>1</v>
      </c>
      <c r="J55">
        <v>1</v>
      </c>
      <c r="K55">
        <v>0.5</v>
      </c>
      <c r="L55">
        <v>2.2266544860000002</v>
      </c>
      <c r="M55">
        <v>1.295144689</v>
      </c>
      <c r="N55">
        <v>0.93150979700000003</v>
      </c>
      <c r="O55">
        <v>0.58165498800000004</v>
      </c>
      <c r="P55">
        <v>-0.29514468900000002</v>
      </c>
      <c r="Q55">
        <v>6.8490203E-2</v>
      </c>
      <c r="R55">
        <v>0</v>
      </c>
      <c r="S55">
        <v>0</v>
      </c>
      <c r="T55">
        <v>3.6502532999999997E-2</v>
      </c>
      <c r="U55">
        <v>-3.7156469999999999E-3</v>
      </c>
      <c r="V55">
        <v>1</v>
      </c>
      <c r="W55">
        <v>1</v>
      </c>
      <c r="X55">
        <v>0</v>
      </c>
      <c r="Y55">
        <v>1</v>
      </c>
      <c r="Z55">
        <v>1.2035732939999999</v>
      </c>
      <c r="AA55">
        <v>0.47530345099999999</v>
      </c>
      <c r="AB55">
        <v>0.72826984400000006</v>
      </c>
      <c r="AC55">
        <v>0.39491026699999998</v>
      </c>
      <c r="AD55">
        <v>0.52469654899999996</v>
      </c>
      <c r="AE55">
        <v>-0.72826984400000006</v>
      </c>
      <c r="AF55">
        <v>0</v>
      </c>
      <c r="AG55">
        <v>1</v>
      </c>
      <c r="AH55">
        <v>5.4707877000000002E-2</v>
      </c>
      <c r="AI55">
        <v>-9.2533319999999995E-3</v>
      </c>
      <c r="AJ55">
        <v>5</v>
      </c>
      <c r="AK55">
        <v>1</v>
      </c>
      <c r="AL55">
        <f t="shared" si="0"/>
        <v>0.5</v>
      </c>
      <c r="AM55">
        <f t="shared" si="1"/>
        <v>0.2</v>
      </c>
    </row>
    <row r="56" spans="1:39" x14ac:dyDescent="0.2">
      <c r="A56" t="s">
        <v>123</v>
      </c>
      <c r="B56" t="s">
        <v>115</v>
      </c>
      <c r="C56" t="s">
        <v>41</v>
      </c>
      <c r="D56" t="s">
        <v>115</v>
      </c>
      <c r="E56">
        <v>4.7321530750000003</v>
      </c>
      <c r="F56">
        <v>-0.38001418999999997</v>
      </c>
      <c r="G56">
        <v>-5.1121672650000001</v>
      </c>
      <c r="H56">
        <v>11</v>
      </c>
      <c r="I56">
        <v>6</v>
      </c>
      <c r="J56">
        <v>5</v>
      </c>
      <c r="K56">
        <v>0.54545454500000001</v>
      </c>
      <c r="L56">
        <v>17.737229360000001</v>
      </c>
      <c r="M56">
        <v>9.5586217730000005</v>
      </c>
      <c r="N56">
        <v>8.1786075839999999</v>
      </c>
      <c r="O56">
        <v>0.53890162799999997</v>
      </c>
      <c r="P56">
        <v>-3.558621773</v>
      </c>
      <c r="Q56">
        <v>-3.1786075839999999</v>
      </c>
      <c r="R56">
        <v>0</v>
      </c>
      <c r="S56">
        <v>1</v>
      </c>
      <c r="T56">
        <v>2.1843879E-2</v>
      </c>
      <c r="U56">
        <v>-8.2970800000000001E-3</v>
      </c>
      <c r="V56">
        <v>12</v>
      </c>
      <c r="W56">
        <v>1</v>
      </c>
      <c r="X56">
        <v>11</v>
      </c>
      <c r="Y56">
        <v>8.3333332999999996E-2</v>
      </c>
      <c r="Z56">
        <v>11.14285604</v>
      </c>
      <c r="AA56">
        <v>3.1275116519999999</v>
      </c>
      <c r="AB56">
        <v>8.0153443870000007</v>
      </c>
      <c r="AC56">
        <v>0.28067415000000001</v>
      </c>
      <c r="AD56">
        <v>-2.1275116519999999</v>
      </c>
      <c r="AE56">
        <v>2.9846556130000002</v>
      </c>
      <c r="AF56">
        <v>1</v>
      </c>
      <c r="AG56">
        <v>1</v>
      </c>
      <c r="AH56">
        <v>3.1212482E-2</v>
      </c>
      <c r="AI56">
        <v>2.4009629999999999E-3</v>
      </c>
      <c r="AJ56">
        <v>52</v>
      </c>
      <c r="AK56">
        <v>9</v>
      </c>
      <c r="AL56">
        <f t="shared" si="0"/>
        <v>0.81818181818181823</v>
      </c>
      <c r="AM56">
        <f t="shared" si="1"/>
        <v>0.17307692307692307</v>
      </c>
    </row>
    <row r="57" spans="1:39" x14ac:dyDescent="0.2">
      <c r="A57" t="s">
        <v>124</v>
      </c>
      <c r="B57" t="s">
        <v>78</v>
      </c>
      <c r="C57" t="s">
        <v>41</v>
      </c>
      <c r="D57" t="s">
        <v>78</v>
      </c>
      <c r="E57">
        <v>0.46422012699999998</v>
      </c>
      <c r="F57">
        <v>-0.47034111699999998</v>
      </c>
      <c r="G57">
        <v>-0.93456124500000004</v>
      </c>
      <c r="H57">
        <v>18</v>
      </c>
      <c r="I57">
        <v>10</v>
      </c>
      <c r="J57">
        <v>8</v>
      </c>
      <c r="K57">
        <v>0.55555555599999995</v>
      </c>
      <c r="L57">
        <v>12.891167429999999</v>
      </c>
      <c r="M57">
        <v>7.6807542709999996</v>
      </c>
      <c r="N57">
        <v>5.2104131540000003</v>
      </c>
      <c r="O57">
        <v>0.59581525999999996</v>
      </c>
      <c r="P57">
        <v>2.3192457289999999</v>
      </c>
      <c r="Q57">
        <v>2.7895868460000002</v>
      </c>
      <c r="R57">
        <v>3</v>
      </c>
      <c r="S57">
        <v>3</v>
      </c>
      <c r="T57">
        <v>1.7562898E-2</v>
      </c>
      <c r="U57">
        <v>6.960262E-3</v>
      </c>
      <c r="V57">
        <v>17</v>
      </c>
      <c r="W57">
        <v>7</v>
      </c>
      <c r="X57">
        <v>10</v>
      </c>
      <c r="Y57">
        <v>0.41176470599999998</v>
      </c>
      <c r="Z57">
        <v>13.344191439999999</v>
      </c>
      <c r="AA57">
        <v>5.6393763410000002</v>
      </c>
      <c r="AB57">
        <v>7.7048150959999999</v>
      </c>
      <c r="AC57">
        <v>0.422609071</v>
      </c>
      <c r="AD57">
        <v>1.360623659</v>
      </c>
      <c r="AE57">
        <v>2.2951849040000001</v>
      </c>
      <c r="AF57">
        <v>1</v>
      </c>
      <c r="AG57">
        <v>1</v>
      </c>
      <c r="AH57">
        <v>4.3325296999999999E-2</v>
      </c>
      <c r="AI57">
        <v>1.1869508000000001E-2</v>
      </c>
      <c r="AJ57">
        <v>35</v>
      </c>
      <c r="AK57">
        <v>11</v>
      </c>
      <c r="AL57">
        <f t="shared" si="0"/>
        <v>0.61111111111111116</v>
      </c>
      <c r="AM57">
        <f t="shared" si="1"/>
        <v>0.31428571428571428</v>
      </c>
    </row>
    <row r="58" spans="1:39" x14ac:dyDescent="0.2">
      <c r="A58" t="s">
        <v>125</v>
      </c>
      <c r="B58" t="s">
        <v>51</v>
      </c>
      <c r="C58" t="s">
        <v>41</v>
      </c>
      <c r="D58" t="s">
        <v>51</v>
      </c>
      <c r="E58">
        <v>-0.13759969699999999</v>
      </c>
      <c r="F58">
        <v>-0.48891145400000002</v>
      </c>
      <c r="G58">
        <v>-0.351311757</v>
      </c>
      <c r="H58">
        <v>1</v>
      </c>
      <c r="I58">
        <v>0</v>
      </c>
      <c r="J58">
        <v>1</v>
      </c>
      <c r="L58">
        <v>0.51108854599999998</v>
      </c>
      <c r="M58">
        <v>0</v>
      </c>
      <c r="N58">
        <v>0.51108854599999998</v>
      </c>
      <c r="P58">
        <v>0</v>
      </c>
      <c r="Q58">
        <v>0.48891145400000002</v>
      </c>
      <c r="R58">
        <v>0</v>
      </c>
      <c r="S58">
        <v>0</v>
      </c>
      <c r="T58">
        <v>1.3104835E-2</v>
      </c>
      <c r="U58">
        <v>1.2536191E-2</v>
      </c>
      <c r="V58">
        <v>1</v>
      </c>
      <c r="W58">
        <v>0</v>
      </c>
      <c r="X58">
        <v>1</v>
      </c>
      <c r="Z58">
        <v>1.234902285</v>
      </c>
      <c r="AA58">
        <v>0.29310702100000002</v>
      </c>
      <c r="AB58">
        <v>0.94179526400000002</v>
      </c>
      <c r="AC58">
        <v>0.23735239999999999</v>
      </c>
      <c r="AD58">
        <v>-0.29310702100000002</v>
      </c>
      <c r="AE58">
        <v>5.8204736E-2</v>
      </c>
      <c r="AF58">
        <v>0</v>
      </c>
      <c r="AG58">
        <v>0</v>
      </c>
      <c r="AH58">
        <v>4.2582836999999998E-2</v>
      </c>
      <c r="AI58">
        <v>-8.1000789999999996E-3</v>
      </c>
      <c r="AJ58">
        <v>1</v>
      </c>
      <c r="AK58">
        <v>0</v>
      </c>
      <c r="AL58">
        <f t="shared" si="0"/>
        <v>0</v>
      </c>
      <c r="AM58">
        <f t="shared" si="1"/>
        <v>0</v>
      </c>
    </row>
    <row r="59" spans="1:39" x14ac:dyDescent="0.2">
      <c r="A59" t="s">
        <v>126</v>
      </c>
      <c r="B59" t="s">
        <v>78</v>
      </c>
      <c r="C59" t="s">
        <v>41</v>
      </c>
      <c r="D59" t="s">
        <v>78</v>
      </c>
      <c r="E59">
        <v>-8.3455214E-2</v>
      </c>
      <c r="F59">
        <v>-0.50363110499999997</v>
      </c>
      <c r="G59">
        <v>-0.42017589100000002</v>
      </c>
      <c r="H59">
        <v>2</v>
      </c>
      <c r="I59">
        <v>1</v>
      </c>
      <c r="J59">
        <v>1</v>
      </c>
      <c r="K59">
        <v>0.5</v>
      </c>
      <c r="L59">
        <v>3.4510179110000001</v>
      </c>
      <c r="M59">
        <v>1.9773245079999999</v>
      </c>
      <c r="N59">
        <v>1.473693403</v>
      </c>
      <c r="O59">
        <v>0.57296848600000005</v>
      </c>
      <c r="P59">
        <v>-0.97732450800000004</v>
      </c>
      <c r="Q59">
        <v>-0.47369340300000001</v>
      </c>
      <c r="R59">
        <v>0</v>
      </c>
      <c r="S59">
        <v>0</v>
      </c>
      <c r="T59">
        <v>1.6671584E-2</v>
      </c>
      <c r="U59">
        <v>-7.0097479999999997E-3</v>
      </c>
      <c r="V59">
        <v>6</v>
      </c>
      <c r="W59">
        <v>3</v>
      </c>
      <c r="X59">
        <v>3</v>
      </c>
      <c r="Y59">
        <v>0.5</v>
      </c>
      <c r="Z59">
        <v>3.6289052549999998</v>
      </c>
      <c r="AA59">
        <v>2.0245405729999999</v>
      </c>
      <c r="AB59">
        <v>1.6043646819999999</v>
      </c>
      <c r="AC59">
        <v>0.55789292700000004</v>
      </c>
      <c r="AD59">
        <v>0.97545942699999999</v>
      </c>
      <c r="AE59">
        <v>1.3956353180000001</v>
      </c>
      <c r="AF59">
        <v>2</v>
      </c>
      <c r="AG59">
        <v>0</v>
      </c>
      <c r="AH59">
        <v>4.7128639999999999E-2</v>
      </c>
      <c r="AI59">
        <v>3.0793437999999999E-2</v>
      </c>
      <c r="AJ59">
        <v>12</v>
      </c>
      <c r="AK59">
        <v>1</v>
      </c>
      <c r="AL59">
        <f t="shared" si="0"/>
        <v>0.5</v>
      </c>
      <c r="AM59">
        <f t="shared" si="1"/>
        <v>8.3333333333333329E-2</v>
      </c>
    </row>
    <row r="60" spans="1:39" x14ac:dyDescent="0.2">
      <c r="A60" t="s">
        <v>127</v>
      </c>
      <c r="B60" t="s">
        <v>75</v>
      </c>
      <c r="C60" t="s">
        <v>41</v>
      </c>
      <c r="D60" t="s">
        <v>75</v>
      </c>
      <c r="E60">
        <v>-3.260958311</v>
      </c>
      <c r="F60">
        <v>-0.74993849599999995</v>
      </c>
      <c r="G60">
        <v>2.511019815</v>
      </c>
      <c r="H60">
        <v>16</v>
      </c>
      <c r="I60">
        <v>6</v>
      </c>
      <c r="J60">
        <v>10</v>
      </c>
      <c r="K60">
        <v>0.375</v>
      </c>
      <c r="L60">
        <v>16.052809020000002</v>
      </c>
      <c r="M60">
        <v>6.4013737580000001</v>
      </c>
      <c r="N60">
        <v>9.6514352619999997</v>
      </c>
      <c r="O60">
        <v>0.39876969499999998</v>
      </c>
      <c r="P60">
        <v>-0.40137375800000002</v>
      </c>
      <c r="Q60">
        <v>0.34856473799999999</v>
      </c>
      <c r="R60">
        <v>3</v>
      </c>
      <c r="S60">
        <v>0</v>
      </c>
      <c r="T60">
        <v>1.8138767E-2</v>
      </c>
      <c r="U60" s="1">
        <v>-5.9671199999999999E-5</v>
      </c>
      <c r="V60">
        <v>15</v>
      </c>
      <c r="W60">
        <v>9</v>
      </c>
      <c r="X60">
        <v>6</v>
      </c>
      <c r="Y60">
        <v>0.6</v>
      </c>
      <c r="Z60">
        <v>18.717672960000002</v>
      </c>
      <c r="AA60">
        <v>9.6033265720000003</v>
      </c>
      <c r="AB60">
        <v>9.1143463879999995</v>
      </c>
      <c r="AC60">
        <v>0.51306199200000002</v>
      </c>
      <c r="AD60">
        <v>-0.60332657199999995</v>
      </c>
      <c r="AE60">
        <v>-3.114346388</v>
      </c>
      <c r="AF60">
        <v>3</v>
      </c>
      <c r="AG60">
        <v>1</v>
      </c>
      <c r="AH60">
        <v>4.8117410999999999E-2</v>
      </c>
      <c r="AI60">
        <v>-9.5569999999999995E-3</v>
      </c>
      <c r="AJ60">
        <v>48</v>
      </c>
      <c r="AK60">
        <v>11</v>
      </c>
      <c r="AL60">
        <f t="shared" si="0"/>
        <v>0.6875</v>
      </c>
      <c r="AM60">
        <f t="shared" si="1"/>
        <v>0.22916666666666666</v>
      </c>
    </row>
    <row r="61" spans="1:39" x14ac:dyDescent="0.2">
      <c r="A61" t="s">
        <v>128</v>
      </c>
      <c r="B61" t="s">
        <v>121</v>
      </c>
      <c r="C61" t="s">
        <v>41</v>
      </c>
      <c r="D61" t="s">
        <v>121</v>
      </c>
      <c r="E61">
        <v>-4.7952140449999998</v>
      </c>
      <c r="F61">
        <v>-0.78872619799999999</v>
      </c>
      <c r="G61">
        <v>4.0064878459999997</v>
      </c>
      <c r="H61">
        <v>14</v>
      </c>
      <c r="I61">
        <v>7</v>
      </c>
      <c r="J61">
        <v>7</v>
      </c>
      <c r="K61">
        <v>0.5</v>
      </c>
      <c r="L61">
        <v>21.536544689999999</v>
      </c>
      <c r="M61">
        <v>11.162635440000001</v>
      </c>
      <c r="N61">
        <v>10.373909250000001</v>
      </c>
      <c r="O61">
        <v>0.51831134499999998</v>
      </c>
      <c r="P61">
        <v>-4.1626354450000003</v>
      </c>
      <c r="Q61">
        <v>-3.3739092460000002</v>
      </c>
      <c r="R61">
        <v>2</v>
      </c>
      <c r="S61">
        <v>0</v>
      </c>
      <c r="T61">
        <v>1.9849350000000002E-2</v>
      </c>
      <c r="U61">
        <v>-6.9461239999999997E-3</v>
      </c>
      <c r="V61">
        <v>15</v>
      </c>
      <c r="W61">
        <v>7</v>
      </c>
      <c r="X61">
        <v>8</v>
      </c>
      <c r="Y61">
        <v>0.46666666699999998</v>
      </c>
      <c r="Z61">
        <v>22.03925503</v>
      </c>
      <c r="AA61">
        <v>8.5163835910000003</v>
      </c>
      <c r="AB61">
        <v>13.522871439999999</v>
      </c>
      <c r="AC61">
        <v>0.38641884999999998</v>
      </c>
      <c r="AD61">
        <v>-1.5163835910000001</v>
      </c>
      <c r="AE61">
        <v>-5.522871437</v>
      </c>
      <c r="AF61">
        <v>1</v>
      </c>
      <c r="AG61">
        <v>0</v>
      </c>
      <c r="AH61">
        <v>4.4433981999999997E-2</v>
      </c>
      <c r="AI61">
        <v>-1.4192046E-2</v>
      </c>
      <c r="AJ61">
        <v>79</v>
      </c>
      <c r="AK61">
        <v>9</v>
      </c>
      <c r="AL61">
        <f t="shared" si="0"/>
        <v>0.6428571428571429</v>
      </c>
      <c r="AM61">
        <f t="shared" si="1"/>
        <v>0.11392405063291139</v>
      </c>
    </row>
    <row r="62" spans="1:39" x14ac:dyDescent="0.2">
      <c r="A62" t="s">
        <v>129</v>
      </c>
      <c r="B62" t="s">
        <v>43</v>
      </c>
      <c r="C62" t="s">
        <v>41</v>
      </c>
      <c r="D62" t="s">
        <v>43</v>
      </c>
      <c r="E62">
        <v>-2.377606551</v>
      </c>
      <c r="F62">
        <v>-0.81514848799999995</v>
      </c>
      <c r="G62">
        <v>1.562458063</v>
      </c>
      <c r="H62">
        <v>28</v>
      </c>
      <c r="I62">
        <v>15</v>
      </c>
      <c r="J62">
        <v>13</v>
      </c>
      <c r="K62">
        <v>0.53571428600000004</v>
      </c>
      <c r="L62">
        <v>16.190520800000002</v>
      </c>
      <c r="M62">
        <v>9.502834644</v>
      </c>
      <c r="N62">
        <v>6.6876861559999998</v>
      </c>
      <c r="O62">
        <v>0.58693817000000004</v>
      </c>
      <c r="P62">
        <v>5.497165356</v>
      </c>
      <c r="Q62">
        <v>6.3123138440000002</v>
      </c>
      <c r="R62">
        <v>7</v>
      </c>
      <c r="S62">
        <v>3</v>
      </c>
      <c r="T62">
        <v>2.2300993000000002E-2</v>
      </c>
      <c r="U62">
        <v>1.62665E-2</v>
      </c>
      <c r="V62">
        <v>18</v>
      </c>
      <c r="W62">
        <v>9</v>
      </c>
      <c r="X62">
        <v>9</v>
      </c>
      <c r="Y62">
        <v>0.5</v>
      </c>
      <c r="Z62">
        <v>13.128731200000001</v>
      </c>
      <c r="AA62">
        <v>5.7831365689999998</v>
      </c>
      <c r="AB62">
        <v>7.345594631</v>
      </c>
      <c r="AC62">
        <v>0.44049470400000001</v>
      </c>
      <c r="AD62">
        <v>3.2168634310000002</v>
      </c>
      <c r="AE62">
        <v>1.654405369</v>
      </c>
      <c r="AF62">
        <v>3</v>
      </c>
      <c r="AG62">
        <v>2</v>
      </c>
      <c r="AH62">
        <v>4.3186615999999997E-2</v>
      </c>
      <c r="AI62">
        <v>1.6023910999999998E-2</v>
      </c>
      <c r="AJ62">
        <v>56</v>
      </c>
      <c r="AK62">
        <v>17</v>
      </c>
      <c r="AL62">
        <f t="shared" si="0"/>
        <v>0.6071428571428571</v>
      </c>
      <c r="AM62">
        <f t="shared" si="1"/>
        <v>0.30357142857142855</v>
      </c>
    </row>
    <row r="63" spans="1:39" x14ac:dyDescent="0.2">
      <c r="A63" t="s">
        <v>130</v>
      </c>
      <c r="B63" t="s">
        <v>102</v>
      </c>
      <c r="C63" t="s">
        <v>41</v>
      </c>
      <c r="D63" t="s">
        <v>102</v>
      </c>
      <c r="E63">
        <v>-0.66456730100000005</v>
      </c>
      <c r="F63">
        <v>-0.93190197500000005</v>
      </c>
      <c r="G63">
        <v>-0.26733467399999999</v>
      </c>
      <c r="H63">
        <v>39</v>
      </c>
      <c r="I63">
        <v>21</v>
      </c>
      <c r="J63">
        <v>18</v>
      </c>
      <c r="K63">
        <v>0.53846153799999996</v>
      </c>
      <c r="L63">
        <v>22.977687939999999</v>
      </c>
      <c r="M63">
        <v>13.454794959999999</v>
      </c>
      <c r="N63">
        <v>9.5228929820000001</v>
      </c>
      <c r="O63">
        <v>0.58555913000000004</v>
      </c>
      <c r="P63">
        <v>7.5452050440000002</v>
      </c>
      <c r="Q63">
        <v>8.4771070179999999</v>
      </c>
      <c r="R63">
        <v>3</v>
      </c>
      <c r="S63">
        <v>1</v>
      </c>
      <c r="T63">
        <v>2.0965043999999999E-2</v>
      </c>
      <c r="U63">
        <v>1.4618898E-2</v>
      </c>
      <c r="V63">
        <v>27</v>
      </c>
      <c r="W63">
        <v>11</v>
      </c>
      <c r="X63">
        <v>16</v>
      </c>
      <c r="Y63">
        <v>0.407407407</v>
      </c>
      <c r="Z63">
        <v>21.61159357</v>
      </c>
      <c r="AA63">
        <v>8.4394641200000002</v>
      </c>
      <c r="AB63">
        <v>13.17212945</v>
      </c>
      <c r="AC63">
        <v>0.39050633099999998</v>
      </c>
      <c r="AD63">
        <v>2.5605358800000002</v>
      </c>
      <c r="AE63">
        <v>2.827870554</v>
      </c>
      <c r="AF63">
        <v>5</v>
      </c>
      <c r="AG63">
        <v>2</v>
      </c>
      <c r="AH63">
        <v>4.0395502E-2</v>
      </c>
      <c r="AI63">
        <v>1.0071788E-2</v>
      </c>
      <c r="AJ63">
        <v>66</v>
      </c>
      <c r="AK63">
        <v>22</v>
      </c>
      <c r="AL63">
        <f t="shared" si="0"/>
        <v>0.5641025641025641</v>
      </c>
      <c r="AM63">
        <f t="shared" si="1"/>
        <v>0.33333333333333331</v>
      </c>
    </row>
    <row r="64" spans="1:39" x14ac:dyDescent="0.2">
      <c r="A64" t="s">
        <v>131</v>
      </c>
      <c r="B64" t="s">
        <v>86</v>
      </c>
      <c r="C64" t="s">
        <v>41</v>
      </c>
      <c r="D64" t="s">
        <v>86</v>
      </c>
      <c r="E64">
        <v>-2.4593289180000002</v>
      </c>
      <c r="F64">
        <v>-1.062849516</v>
      </c>
      <c r="G64">
        <v>1.396479402</v>
      </c>
      <c r="H64">
        <v>2</v>
      </c>
      <c r="I64">
        <v>0</v>
      </c>
      <c r="J64">
        <v>2</v>
      </c>
      <c r="L64">
        <v>1.83573648</v>
      </c>
      <c r="M64">
        <v>0.449292998</v>
      </c>
      <c r="N64">
        <v>1.386443482</v>
      </c>
      <c r="O64">
        <v>0.24474809</v>
      </c>
      <c r="P64">
        <v>-0.449292998</v>
      </c>
      <c r="Q64">
        <v>0.613556518</v>
      </c>
      <c r="R64">
        <v>0</v>
      </c>
      <c r="S64">
        <v>0</v>
      </c>
      <c r="T64">
        <v>1.6102952E-2</v>
      </c>
      <c r="U64">
        <v>1.4409080000000001E-3</v>
      </c>
      <c r="V64">
        <v>3</v>
      </c>
      <c r="W64">
        <v>2</v>
      </c>
      <c r="X64">
        <v>1</v>
      </c>
      <c r="Y64">
        <v>0.66666666699999999</v>
      </c>
      <c r="Z64">
        <v>2.151354263</v>
      </c>
      <c r="AA64">
        <v>0.87743742999999996</v>
      </c>
      <c r="AB64">
        <v>1.2739168329999999</v>
      </c>
      <c r="AC64">
        <v>0.40785353000000002</v>
      </c>
      <c r="AD64">
        <v>1.1225625699999999</v>
      </c>
      <c r="AE64">
        <v>-0.27391683300000003</v>
      </c>
      <c r="AF64">
        <v>1</v>
      </c>
      <c r="AG64">
        <v>1</v>
      </c>
      <c r="AH64">
        <v>4.3027085E-2</v>
      </c>
      <c r="AI64">
        <v>1.6972915000000002E-2</v>
      </c>
      <c r="AJ64">
        <v>5</v>
      </c>
      <c r="AK64">
        <v>0</v>
      </c>
      <c r="AL64">
        <f t="shared" si="0"/>
        <v>0</v>
      </c>
      <c r="AM64">
        <f t="shared" si="1"/>
        <v>0</v>
      </c>
    </row>
    <row r="65" spans="1:39" x14ac:dyDescent="0.2">
      <c r="A65" t="s">
        <v>132</v>
      </c>
      <c r="B65" t="s">
        <v>45</v>
      </c>
      <c r="C65" t="s">
        <v>41</v>
      </c>
      <c r="D65" t="s">
        <v>45</v>
      </c>
      <c r="E65">
        <v>-0.89972213999999995</v>
      </c>
      <c r="F65">
        <v>-1.1018273890000001</v>
      </c>
      <c r="G65">
        <v>-0.20210524899999999</v>
      </c>
      <c r="H65">
        <v>2</v>
      </c>
      <c r="I65">
        <v>0</v>
      </c>
      <c r="J65">
        <v>2</v>
      </c>
      <c r="L65">
        <v>6.8631869380000001</v>
      </c>
      <c r="M65">
        <v>2.9825071630000002</v>
      </c>
      <c r="N65">
        <v>3.8806797739999999</v>
      </c>
      <c r="O65">
        <v>0.43456592300000002</v>
      </c>
      <c r="P65">
        <v>-2.9825071630000002</v>
      </c>
      <c r="Q65">
        <v>-1.8806797740000001</v>
      </c>
      <c r="R65">
        <v>0</v>
      </c>
      <c r="S65">
        <v>0</v>
      </c>
      <c r="T65">
        <v>1.7826459999999999E-2</v>
      </c>
      <c r="U65">
        <v>-1.2631654000000001E-2</v>
      </c>
      <c r="V65">
        <v>10</v>
      </c>
      <c r="W65">
        <v>5</v>
      </c>
      <c r="X65">
        <v>5</v>
      </c>
      <c r="Y65">
        <v>0.5</v>
      </c>
      <c r="Z65">
        <v>6.4612066859999997</v>
      </c>
      <c r="AA65">
        <v>3.3316559680000002</v>
      </c>
      <c r="AB65">
        <v>3.129550718</v>
      </c>
      <c r="AC65">
        <v>0.51563990000000004</v>
      </c>
      <c r="AD65">
        <v>1.668344032</v>
      </c>
      <c r="AE65">
        <v>1.870449282</v>
      </c>
      <c r="AF65">
        <v>1</v>
      </c>
      <c r="AG65">
        <v>1</v>
      </c>
      <c r="AH65">
        <v>4.4560045999999999E-2</v>
      </c>
      <c r="AI65">
        <v>2.4405471000000001E-2</v>
      </c>
      <c r="AJ65">
        <v>20</v>
      </c>
      <c r="AK65">
        <v>1</v>
      </c>
      <c r="AL65">
        <f t="shared" si="0"/>
        <v>0.5</v>
      </c>
      <c r="AM65">
        <f t="shared" si="1"/>
        <v>0.05</v>
      </c>
    </row>
    <row r="66" spans="1:39" x14ac:dyDescent="0.2">
      <c r="A66" t="s">
        <v>133</v>
      </c>
      <c r="B66" t="s">
        <v>69</v>
      </c>
      <c r="C66" t="s">
        <v>41</v>
      </c>
      <c r="D66" t="s">
        <v>69</v>
      </c>
      <c r="E66">
        <v>-3.0601967760000002</v>
      </c>
      <c r="F66">
        <v>-1.32568672</v>
      </c>
      <c r="G66">
        <v>1.7345100550000001</v>
      </c>
      <c r="H66">
        <v>3</v>
      </c>
      <c r="I66">
        <v>1</v>
      </c>
      <c r="J66">
        <v>2</v>
      </c>
      <c r="K66">
        <v>0.33333333300000001</v>
      </c>
      <c r="L66">
        <v>3.3849533549999999</v>
      </c>
      <c r="M66">
        <v>1.8553200379999999</v>
      </c>
      <c r="N66">
        <v>1.529633317</v>
      </c>
      <c r="O66">
        <v>0.54810800699999995</v>
      </c>
      <c r="P66">
        <v>-0.855320038</v>
      </c>
      <c r="Q66">
        <v>0.47036668300000001</v>
      </c>
      <c r="R66">
        <v>0</v>
      </c>
      <c r="S66">
        <v>0</v>
      </c>
      <c r="T66">
        <v>2.8444985999999998E-2</v>
      </c>
      <c r="U66">
        <v>-3.234902E-3</v>
      </c>
      <c r="V66">
        <v>1</v>
      </c>
      <c r="W66">
        <v>1</v>
      </c>
      <c r="X66">
        <v>0</v>
      </c>
      <c r="Y66">
        <v>1</v>
      </c>
      <c r="Z66">
        <v>2.2093372420000001</v>
      </c>
      <c r="AA66">
        <v>0.73741359399999995</v>
      </c>
      <c r="AB66">
        <v>1.4719236490000001</v>
      </c>
      <c r="AC66">
        <v>0.33377140399999999</v>
      </c>
      <c r="AD66">
        <v>0.26258640599999999</v>
      </c>
      <c r="AE66">
        <v>-1.4719236490000001</v>
      </c>
      <c r="AF66">
        <v>0</v>
      </c>
      <c r="AG66">
        <v>0</v>
      </c>
      <c r="AH66">
        <v>3.8760302000000003E-2</v>
      </c>
      <c r="AI66">
        <v>-2.1216443000000001E-2</v>
      </c>
      <c r="AJ66">
        <v>12</v>
      </c>
      <c r="AK66">
        <v>3</v>
      </c>
      <c r="AL66">
        <f t="shared" si="0"/>
        <v>1</v>
      </c>
      <c r="AM66">
        <f t="shared" si="1"/>
        <v>0.25</v>
      </c>
    </row>
    <row r="67" spans="1:39" x14ac:dyDescent="0.2">
      <c r="A67" t="s">
        <v>134</v>
      </c>
      <c r="B67" t="s">
        <v>135</v>
      </c>
      <c r="C67" t="s">
        <v>41</v>
      </c>
      <c r="D67" t="s">
        <v>135</v>
      </c>
      <c r="E67">
        <v>-6.7774167900000002</v>
      </c>
      <c r="F67">
        <v>-1.4915849050000001</v>
      </c>
      <c r="G67">
        <v>5.2858318850000003</v>
      </c>
      <c r="H67">
        <v>23</v>
      </c>
      <c r="I67">
        <v>13</v>
      </c>
      <c r="J67">
        <v>10</v>
      </c>
      <c r="K67">
        <v>0.56521739100000001</v>
      </c>
      <c r="L67">
        <v>15.686795679999999</v>
      </c>
      <c r="M67">
        <v>10.089190289999999</v>
      </c>
      <c r="N67">
        <v>5.5976053859999997</v>
      </c>
      <c r="O67">
        <v>0.64316451200000002</v>
      </c>
      <c r="P67">
        <v>2.910809709</v>
      </c>
      <c r="Q67">
        <v>4.4023946140000003</v>
      </c>
      <c r="R67">
        <v>3</v>
      </c>
      <c r="S67">
        <v>1</v>
      </c>
      <c r="T67">
        <v>2.6999648000000001E-2</v>
      </c>
      <c r="U67">
        <v>1.2587271000000001E-2</v>
      </c>
      <c r="V67">
        <v>12</v>
      </c>
      <c r="W67">
        <v>8</v>
      </c>
      <c r="X67">
        <v>4</v>
      </c>
      <c r="Y67">
        <v>0.66666666699999999</v>
      </c>
      <c r="Z67">
        <v>9.755442747</v>
      </c>
      <c r="AA67">
        <v>4.2348054309999998</v>
      </c>
      <c r="AB67">
        <v>5.5206373160000002</v>
      </c>
      <c r="AC67">
        <v>0.43409669299999998</v>
      </c>
      <c r="AD67">
        <v>3.7651945690000002</v>
      </c>
      <c r="AE67">
        <v>-1.520637316</v>
      </c>
      <c r="AF67">
        <v>3</v>
      </c>
      <c r="AG67">
        <v>1</v>
      </c>
      <c r="AH67">
        <v>3.7377174999999999E-2</v>
      </c>
      <c r="AI67">
        <v>8.5998359999999996E-3</v>
      </c>
      <c r="AJ67">
        <v>45</v>
      </c>
      <c r="AK67">
        <v>15</v>
      </c>
      <c r="AL67">
        <f t="shared" ref="AL67:AL78" si="2">AK67/H67</f>
        <v>0.65217391304347827</v>
      </c>
      <c r="AM67">
        <f t="shared" ref="AM67:AM78" si="3">AK67/AJ67</f>
        <v>0.33333333333333331</v>
      </c>
    </row>
    <row r="68" spans="1:39" x14ac:dyDescent="0.2">
      <c r="A68" t="s">
        <v>136</v>
      </c>
      <c r="B68" t="s">
        <v>135</v>
      </c>
      <c r="C68" t="s">
        <v>41</v>
      </c>
      <c r="D68" t="s">
        <v>135</v>
      </c>
      <c r="E68">
        <v>-3.3343575369999998</v>
      </c>
      <c r="F68">
        <v>-1.6841568</v>
      </c>
      <c r="G68">
        <v>1.650200737</v>
      </c>
      <c r="H68">
        <v>26</v>
      </c>
      <c r="I68">
        <v>13</v>
      </c>
      <c r="J68">
        <v>13</v>
      </c>
      <c r="K68">
        <v>0.5</v>
      </c>
      <c r="L68">
        <v>36.101342270000004</v>
      </c>
      <c r="M68">
        <v>18.89274953</v>
      </c>
      <c r="N68">
        <v>17.208592729999999</v>
      </c>
      <c r="O68">
        <v>0.52332540400000005</v>
      </c>
      <c r="P68">
        <v>-5.8927495329999999</v>
      </c>
      <c r="Q68">
        <v>-4.2085927329999997</v>
      </c>
      <c r="R68">
        <v>6</v>
      </c>
      <c r="S68">
        <v>5</v>
      </c>
      <c r="T68">
        <v>2.4693120999999998E-2</v>
      </c>
      <c r="U68">
        <v>-6.9092629999999997E-3</v>
      </c>
      <c r="V68">
        <v>21</v>
      </c>
      <c r="W68">
        <v>9</v>
      </c>
      <c r="X68">
        <v>12</v>
      </c>
      <c r="Y68">
        <v>0.428571429</v>
      </c>
      <c r="Z68">
        <v>25.662267799999999</v>
      </c>
      <c r="AA68">
        <v>10.50603353</v>
      </c>
      <c r="AB68">
        <v>15.156234270000001</v>
      </c>
      <c r="AC68">
        <v>0.40939614600000002</v>
      </c>
      <c r="AD68">
        <v>-1.5060335309999999</v>
      </c>
      <c r="AE68">
        <v>-3.1562342669999999</v>
      </c>
      <c r="AF68">
        <v>1</v>
      </c>
      <c r="AG68">
        <v>1</v>
      </c>
      <c r="AH68">
        <v>4.2138371000000001E-2</v>
      </c>
      <c r="AI68">
        <v>-7.655612E-3</v>
      </c>
      <c r="AJ68">
        <v>108</v>
      </c>
      <c r="AK68">
        <v>20</v>
      </c>
      <c r="AL68">
        <f t="shared" si="2"/>
        <v>0.76923076923076927</v>
      </c>
      <c r="AM68">
        <f t="shared" si="3"/>
        <v>0.18518518518518517</v>
      </c>
    </row>
    <row r="69" spans="1:39" x14ac:dyDescent="0.2">
      <c r="A69" t="s">
        <v>137</v>
      </c>
      <c r="B69" t="s">
        <v>49</v>
      </c>
      <c r="C69" t="s">
        <v>41</v>
      </c>
      <c r="D69" t="s">
        <v>49</v>
      </c>
      <c r="E69">
        <v>-0.61890078199999998</v>
      </c>
      <c r="F69">
        <v>-1.6901741189999999</v>
      </c>
      <c r="G69">
        <v>-1.0712733379999999</v>
      </c>
      <c r="H69">
        <v>3</v>
      </c>
      <c r="I69">
        <v>0</v>
      </c>
      <c r="J69">
        <v>3</v>
      </c>
      <c r="L69">
        <v>5.044569267</v>
      </c>
      <c r="M69">
        <v>1.8673716929999999</v>
      </c>
      <c r="N69">
        <v>3.177197574</v>
      </c>
      <c r="O69">
        <v>0.37017465599999999</v>
      </c>
      <c r="P69">
        <v>-1.8673716929999999</v>
      </c>
      <c r="Q69">
        <v>-0.177197574</v>
      </c>
      <c r="R69">
        <v>0</v>
      </c>
      <c r="S69">
        <v>0</v>
      </c>
      <c r="T69">
        <v>2.4021758000000001E-2</v>
      </c>
      <c r="U69">
        <v>-9.7360439999999993E-3</v>
      </c>
      <c r="V69">
        <v>7</v>
      </c>
      <c r="W69">
        <v>3</v>
      </c>
      <c r="X69">
        <v>4</v>
      </c>
      <c r="Y69">
        <v>0.428571429</v>
      </c>
      <c r="Z69">
        <v>4.6360129270000003</v>
      </c>
      <c r="AA69">
        <v>2.3536431320000002</v>
      </c>
      <c r="AB69">
        <v>2.2823697950000001</v>
      </c>
      <c r="AC69">
        <v>0.50768692199999998</v>
      </c>
      <c r="AD69">
        <v>0.64635686800000003</v>
      </c>
      <c r="AE69">
        <v>1.7176302050000001</v>
      </c>
      <c r="AF69">
        <v>2</v>
      </c>
      <c r="AG69">
        <v>2</v>
      </c>
      <c r="AH69">
        <v>5.1511254999999999E-2</v>
      </c>
      <c r="AI69">
        <v>2.6266523E-2</v>
      </c>
      <c r="AJ69">
        <v>16</v>
      </c>
      <c r="AK69">
        <v>1</v>
      </c>
      <c r="AL69">
        <f t="shared" si="2"/>
        <v>0.33333333333333331</v>
      </c>
      <c r="AM69">
        <f t="shared" si="3"/>
        <v>6.25E-2</v>
      </c>
    </row>
    <row r="70" spans="1:39" x14ac:dyDescent="0.2">
      <c r="A70" t="s">
        <v>138</v>
      </c>
      <c r="B70" t="s">
        <v>47</v>
      </c>
      <c r="C70" t="s">
        <v>41</v>
      </c>
      <c r="D70" t="s">
        <v>47</v>
      </c>
      <c r="E70">
        <v>-4.8675814810000002</v>
      </c>
      <c r="F70">
        <v>-2.0288958949999998</v>
      </c>
      <c r="G70">
        <v>2.8386855870000001</v>
      </c>
      <c r="H70">
        <v>5</v>
      </c>
      <c r="I70">
        <v>1</v>
      </c>
      <c r="J70">
        <v>4</v>
      </c>
      <c r="K70">
        <v>0.2</v>
      </c>
      <c r="L70">
        <v>3.3886609499999998</v>
      </c>
      <c r="M70">
        <v>1.208778422</v>
      </c>
      <c r="N70">
        <v>2.1798825279999998</v>
      </c>
      <c r="O70">
        <v>0.35671270799999999</v>
      </c>
      <c r="P70">
        <v>-0.20877842199999999</v>
      </c>
      <c r="Q70">
        <v>1.820117472</v>
      </c>
      <c r="R70">
        <v>0</v>
      </c>
      <c r="S70">
        <v>0</v>
      </c>
      <c r="T70">
        <v>1.6060004999999999E-2</v>
      </c>
      <c r="U70">
        <v>7.636678E-3</v>
      </c>
      <c r="V70">
        <v>6</v>
      </c>
      <c r="W70">
        <v>3</v>
      </c>
      <c r="X70">
        <v>3</v>
      </c>
      <c r="Y70">
        <v>0.5</v>
      </c>
      <c r="Z70">
        <v>5.6022334159999998</v>
      </c>
      <c r="AA70">
        <v>1.381773914</v>
      </c>
      <c r="AB70">
        <v>4.2204595009999997</v>
      </c>
      <c r="AC70">
        <v>0.24664697299999999</v>
      </c>
      <c r="AD70">
        <v>1.618226086</v>
      </c>
      <c r="AE70">
        <v>-1.2204595009999999</v>
      </c>
      <c r="AF70">
        <v>2</v>
      </c>
      <c r="AG70">
        <v>1</v>
      </c>
      <c r="AH70">
        <v>5.7165647E-2</v>
      </c>
      <c r="AI70">
        <v>4.0588430000000003E-3</v>
      </c>
      <c r="AJ70">
        <v>10</v>
      </c>
      <c r="AK70">
        <v>2</v>
      </c>
      <c r="AL70">
        <f t="shared" si="2"/>
        <v>0.4</v>
      </c>
      <c r="AM70">
        <f t="shared" si="3"/>
        <v>0.2</v>
      </c>
    </row>
    <row r="71" spans="1:39" x14ac:dyDescent="0.2">
      <c r="A71" t="s">
        <v>139</v>
      </c>
      <c r="B71" t="s">
        <v>63</v>
      </c>
      <c r="C71" t="s">
        <v>41</v>
      </c>
      <c r="D71" t="s">
        <v>63</v>
      </c>
      <c r="E71">
        <v>-3.8875790719999999</v>
      </c>
      <c r="F71">
        <v>-2.5640287970000002</v>
      </c>
      <c r="G71">
        <v>1.3235502750000001</v>
      </c>
      <c r="H71">
        <v>2</v>
      </c>
      <c r="I71">
        <v>0</v>
      </c>
      <c r="J71">
        <v>2</v>
      </c>
      <c r="L71">
        <v>1.8068767569999999</v>
      </c>
      <c r="M71">
        <v>1.1854527770000001</v>
      </c>
      <c r="N71">
        <v>0.62142397999999999</v>
      </c>
      <c r="O71">
        <v>0.65607838100000004</v>
      </c>
      <c r="P71">
        <v>-1.1854527770000001</v>
      </c>
      <c r="Q71">
        <v>1.3785760199999999</v>
      </c>
      <c r="R71">
        <v>0</v>
      </c>
      <c r="S71">
        <v>0</v>
      </c>
      <c r="T71">
        <v>2.0076408E-2</v>
      </c>
      <c r="U71">
        <v>2.1458139999999998E-3</v>
      </c>
      <c r="V71">
        <v>1</v>
      </c>
      <c r="W71">
        <v>1</v>
      </c>
      <c r="X71">
        <v>0</v>
      </c>
      <c r="Y71">
        <v>1</v>
      </c>
      <c r="Z71">
        <v>1.592843869</v>
      </c>
      <c r="AA71">
        <v>0.63464679700000004</v>
      </c>
      <c r="AB71">
        <v>0.95819707200000004</v>
      </c>
      <c r="AC71">
        <v>0.398436287</v>
      </c>
      <c r="AD71">
        <v>0.36535320300000002</v>
      </c>
      <c r="AE71">
        <v>-0.95819707200000004</v>
      </c>
      <c r="AF71">
        <v>0</v>
      </c>
      <c r="AG71">
        <v>0</v>
      </c>
      <c r="AH71">
        <v>5.138206E-2</v>
      </c>
      <c r="AI71">
        <v>-1.9123996000000001E-2</v>
      </c>
      <c r="AJ71">
        <v>5</v>
      </c>
      <c r="AK71">
        <v>0</v>
      </c>
      <c r="AL71">
        <f t="shared" si="2"/>
        <v>0</v>
      </c>
      <c r="AM71">
        <f t="shared" si="3"/>
        <v>0</v>
      </c>
    </row>
    <row r="72" spans="1:39" x14ac:dyDescent="0.2">
      <c r="A72" t="s">
        <v>140</v>
      </c>
      <c r="B72" t="s">
        <v>119</v>
      </c>
      <c r="C72" t="s">
        <v>41</v>
      </c>
      <c r="D72" t="s">
        <v>119</v>
      </c>
      <c r="E72">
        <v>-0.96219256600000003</v>
      </c>
      <c r="F72">
        <v>-2.731668268</v>
      </c>
      <c r="G72">
        <v>-1.769475702</v>
      </c>
      <c r="H72">
        <v>23</v>
      </c>
      <c r="I72">
        <v>12</v>
      </c>
      <c r="J72">
        <v>11</v>
      </c>
      <c r="K72">
        <v>0.52173913000000005</v>
      </c>
      <c r="L72">
        <v>27.359840009999999</v>
      </c>
      <c r="M72">
        <v>15.54575414</v>
      </c>
      <c r="N72">
        <v>11.81408587</v>
      </c>
      <c r="O72">
        <v>0.56819609100000001</v>
      </c>
      <c r="P72">
        <v>-3.5457541400000001</v>
      </c>
      <c r="Q72">
        <v>-0.81408587200000004</v>
      </c>
      <c r="R72">
        <v>4</v>
      </c>
      <c r="S72">
        <v>2</v>
      </c>
      <c r="T72">
        <v>2.0417791000000001E-2</v>
      </c>
      <c r="U72">
        <v>-3.2536119999999999E-3</v>
      </c>
      <c r="V72">
        <v>15</v>
      </c>
      <c r="W72">
        <v>4</v>
      </c>
      <c r="X72">
        <v>11</v>
      </c>
      <c r="Y72">
        <v>0.26666666700000002</v>
      </c>
      <c r="Z72">
        <v>24.593427599999998</v>
      </c>
      <c r="AA72">
        <v>9.6814516499999996</v>
      </c>
      <c r="AB72">
        <v>14.91197595</v>
      </c>
      <c r="AC72">
        <v>0.39366012</v>
      </c>
      <c r="AD72">
        <v>-5.6814516499999996</v>
      </c>
      <c r="AE72">
        <v>-3.9119759479999998</v>
      </c>
      <c r="AF72">
        <v>3</v>
      </c>
      <c r="AG72">
        <v>0</v>
      </c>
      <c r="AH72">
        <v>4.1683775999999999E-2</v>
      </c>
      <c r="AI72">
        <v>-1.6260047E-2</v>
      </c>
      <c r="AJ72">
        <v>79</v>
      </c>
      <c r="AK72">
        <v>15</v>
      </c>
      <c r="AL72">
        <f t="shared" si="2"/>
        <v>0.65217391304347827</v>
      </c>
      <c r="AM72">
        <f t="shared" si="3"/>
        <v>0.189873417721519</v>
      </c>
    </row>
    <row r="73" spans="1:39" x14ac:dyDescent="0.2">
      <c r="A73" t="s">
        <v>141</v>
      </c>
      <c r="B73" t="s">
        <v>47</v>
      </c>
      <c r="C73" t="s">
        <v>41</v>
      </c>
      <c r="D73" t="s">
        <v>47</v>
      </c>
      <c r="E73">
        <v>-0.64592205499999999</v>
      </c>
      <c r="F73">
        <v>-2.9152839749999999</v>
      </c>
      <c r="G73">
        <v>-2.2693619200000001</v>
      </c>
      <c r="H73">
        <v>16</v>
      </c>
      <c r="I73">
        <v>8</v>
      </c>
      <c r="J73">
        <v>8</v>
      </c>
      <c r="K73">
        <v>0.5</v>
      </c>
      <c r="L73">
        <v>20.156090410000001</v>
      </c>
      <c r="M73">
        <v>11.535687190000001</v>
      </c>
      <c r="N73">
        <v>8.6204032159999997</v>
      </c>
      <c r="O73">
        <v>0.57231769399999999</v>
      </c>
      <c r="P73">
        <v>-3.5356871910000001</v>
      </c>
      <c r="Q73">
        <v>-0.62040321600000004</v>
      </c>
      <c r="R73">
        <v>1</v>
      </c>
      <c r="S73">
        <v>0</v>
      </c>
      <c r="T73">
        <v>2.2395656E-2</v>
      </c>
      <c r="U73">
        <v>-4.6178779999999997E-3</v>
      </c>
      <c r="V73">
        <v>21</v>
      </c>
      <c r="W73">
        <v>9</v>
      </c>
      <c r="X73">
        <v>12</v>
      </c>
      <c r="Y73">
        <v>0.428571429</v>
      </c>
      <c r="Z73">
        <v>21.512010700000001</v>
      </c>
      <c r="AA73">
        <v>10.39068631</v>
      </c>
      <c r="AB73">
        <v>11.12132439</v>
      </c>
      <c r="AC73">
        <v>0.483017904</v>
      </c>
      <c r="AD73">
        <v>-1.390686307</v>
      </c>
      <c r="AE73">
        <v>0.87867561199999999</v>
      </c>
      <c r="AF73">
        <v>2</v>
      </c>
      <c r="AG73">
        <v>2</v>
      </c>
      <c r="AH73">
        <v>5.1341313999999999E-2</v>
      </c>
      <c r="AI73">
        <v>-1.2219830000000001E-3</v>
      </c>
      <c r="AJ73">
        <v>62</v>
      </c>
      <c r="AK73">
        <v>13</v>
      </c>
      <c r="AL73">
        <f t="shared" si="2"/>
        <v>0.8125</v>
      </c>
      <c r="AM73">
        <f t="shared" si="3"/>
        <v>0.20967741935483872</v>
      </c>
    </row>
    <row r="74" spans="1:39" x14ac:dyDescent="0.2">
      <c r="A74" t="s">
        <v>142</v>
      </c>
      <c r="B74" t="s">
        <v>107</v>
      </c>
      <c r="C74" t="s">
        <v>41</v>
      </c>
      <c r="D74" t="s">
        <v>107</v>
      </c>
      <c r="E74">
        <v>-0.259018894</v>
      </c>
      <c r="F74">
        <v>-2.9235559699999998</v>
      </c>
      <c r="G74">
        <v>-2.6645370759999998</v>
      </c>
      <c r="H74">
        <v>7</v>
      </c>
      <c r="I74">
        <v>1</v>
      </c>
      <c r="J74">
        <v>6</v>
      </c>
      <c r="K74">
        <v>0.14285714299999999</v>
      </c>
      <c r="L74">
        <v>6.1288128180000001</v>
      </c>
      <c r="M74">
        <v>2.0261843939999999</v>
      </c>
      <c r="N74">
        <v>4.1026284239999997</v>
      </c>
      <c r="O74">
        <v>0.33059981700000002</v>
      </c>
      <c r="P74">
        <v>-1.0261843939999999</v>
      </c>
      <c r="Q74">
        <v>1.8973715760000001</v>
      </c>
      <c r="R74">
        <v>0</v>
      </c>
      <c r="S74">
        <v>0</v>
      </c>
      <c r="T74">
        <v>2.0028799999999999E-2</v>
      </c>
      <c r="U74">
        <v>2.8470169999999999E-3</v>
      </c>
      <c r="V74">
        <v>11</v>
      </c>
      <c r="W74">
        <v>3</v>
      </c>
      <c r="X74">
        <v>8</v>
      </c>
      <c r="Y74">
        <v>0.27272727299999999</v>
      </c>
      <c r="Z74">
        <v>6.8854250160000001</v>
      </c>
      <c r="AA74">
        <v>2.2749810460000002</v>
      </c>
      <c r="AB74">
        <v>4.6104439700000004</v>
      </c>
      <c r="AC74">
        <v>0.33040531899999998</v>
      </c>
      <c r="AD74">
        <v>0.72501895400000005</v>
      </c>
      <c r="AE74">
        <v>3.3895560300000001</v>
      </c>
      <c r="AF74">
        <v>1</v>
      </c>
      <c r="AG74">
        <v>0</v>
      </c>
      <c r="AH74">
        <v>4.2766615000000001E-2</v>
      </c>
      <c r="AI74">
        <v>2.5556366E-2</v>
      </c>
      <c r="AJ74">
        <v>18</v>
      </c>
      <c r="AK74">
        <v>3</v>
      </c>
      <c r="AL74">
        <f t="shared" si="2"/>
        <v>0.42857142857142855</v>
      </c>
      <c r="AM74">
        <f t="shared" si="3"/>
        <v>0.16666666666666666</v>
      </c>
    </row>
    <row r="75" spans="1:39" x14ac:dyDescent="0.2">
      <c r="A75" t="s">
        <v>143</v>
      </c>
      <c r="B75" t="s">
        <v>53</v>
      </c>
      <c r="C75" t="s">
        <v>41</v>
      </c>
      <c r="D75" t="s">
        <v>53</v>
      </c>
      <c r="E75">
        <v>-5.253491103</v>
      </c>
      <c r="F75">
        <v>-3.3681322869999999</v>
      </c>
      <c r="G75">
        <v>1.885358815</v>
      </c>
      <c r="H75">
        <v>7</v>
      </c>
      <c r="I75">
        <v>2</v>
      </c>
      <c r="J75">
        <v>5</v>
      </c>
      <c r="K75">
        <v>0.28571428599999998</v>
      </c>
      <c r="L75">
        <v>11.534886090000001</v>
      </c>
      <c r="M75">
        <v>5.9515091910000004</v>
      </c>
      <c r="N75">
        <v>5.5833769039999996</v>
      </c>
      <c r="O75">
        <v>0.51595734400000004</v>
      </c>
      <c r="P75">
        <v>-3.951509191</v>
      </c>
      <c r="Q75">
        <v>-0.58337690399999997</v>
      </c>
      <c r="R75">
        <v>0</v>
      </c>
      <c r="S75">
        <v>0</v>
      </c>
      <c r="T75">
        <v>2.3023724999999998E-2</v>
      </c>
      <c r="U75">
        <v>-9.051669E-3</v>
      </c>
      <c r="V75">
        <v>8</v>
      </c>
      <c r="W75">
        <v>2</v>
      </c>
      <c r="X75">
        <v>6</v>
      </c>
      <c r="Y75">
        <v>0.25</v>
      </c>
      <c r="Z75">
        <v>8.8350168710000005</v>
      </c>
      <c r="AA75">
        <v>1.474829028</v>
      </c>
      <c r="AB75">
        <v>7.3601878430000003</v>
      </c>
      <c r="AC75">
        <v>0.16692996199999999</v>
      </c>
      <c r="AD75">
        <v>0.52517097199999996</v>
      </c>
      <c r="AE75">
        <v>-1.3601878430000001</v>
      </c>
      <c r="AF75">
        <v>0</v>
      </c>
      <c r="AG75">
        <v>0</v>
      </c>
      <c r="AH75">
        <v>3.3089950999999999E-2</v>
      </c>
      <c r="AI75">
        <v>-3.1274039999999999E-3</v>
      </c>
      <c r="AJ75">
        <v>42</v>
      </c>
      <c r="AK75">
        <v>4</v>
      </c>
      <c r="AL75">
        <f t="shared" si="2"/>
        <v>0.5714285714285714</v>
      </c>
      <c r="AM75">
        <f t="shared" si="3"/>
        <v>9.5238095238095233E-2</v>
      </c>
    </row>
    <row r="76" spans="1:39" x14ac:dyDescent="0.2">
      <c r="A76" t="s">
        <v>144</v>
      </c>
      <c r="B76" t="s">
        <v>81</v>
      </c>
      <c r="C76" t="s">
        <v>41</v>
      </c>
      <c r="D76" t="s">
        <v>81</v>
      </c>
      <c r="E76">
        <v>-15.33840958</v>
      </c>
      <c r="F76">
        <v>-5.4085312989999998</v>
      </c>
      <c r="G76">
        <v>9.9298782760000002</v>
      </c>
      <c r="H76">
        <v>16</v>
      </c>
      <c r="I76">
        <v>6</v>
      </c>
      <c r="J76">
        <v>10</v>
      </c>
      <c r="K76">
        <v>0.375</v>
      </c>
      <c r="L76">
        <v>25.90478117</v>
      </c>
      <c r="M76">
        <v>13.656656229999999</v>
      </c>
      <c r="N76">
        <v>12.248124929999999</v>
      </c>
      <c r="O76">
        <v>0.52718670499999998</v>
      </c>
      <c r="P76">
        <v>-7.6566562329999996</v>
      </c>
      <c r="Q76">
        <v>-2.2481249339999998</v>
      </c>
      <c r="R76">
        <v>5</v>
      </c>
      <c r="S76">
        <v>1</v>
      </c>
      <c r="T76">
        <v>2.0958561000000001E-2</v>
      </c>
      <c r="U76">
        <v>-8.0135769999999992E-3</v>
      </c>
      <c r="V76">
        <v>34</v>
      </c>
      <c r="W76">
        <v>22</v>
      </c>
      <c r="X76">
        <v>12</v>
      </c>
      <c r="Y76">
        <v>0.64705882400000003</v>
      </c>
      <c r="Z76">
        <v>27.953712660000001</v>
      </c>
      <c r="AA76">
        <v>14.01191719</v>
      </c>
      <c r="AB76">
        <v>13.941795470000001</v>
      </c>
      <c r="AC76">
        <v>0.50125424699999999</v>
      </c>
      <c r="AD76">
        <v>7.9880828079999997</v>
      </c>
      <c r="AE76">
        <v>-1.9417954669999999</v>
      </c>
      <c r="AF76">
        <v>6</v>
      </c>
      <c r="AG76">
        <v>2</v>
      </c>
      <c r="AH76">
        <v>4.8870126999999999E-2</v>
      </c>
      <c r="AI76">
        <v>1.0570431999999999E-2</v>
      </c>
      <c r="AJ76">
        <v>70</v>
      </c>
      <c r="AK76">
        <v>10</v>
      </c>
      <c r="AL76">
        <f t="shared" si="2"/>
        <v>0.625</v>
      </c>
      <c r="AM76">
        <f t="shared" si="3"/>
        <v>0.14285714285714285</v>
      </c>
    </row>
    <row r="77" spans="1:39" x14ac:dyDescent="0.2">
      <c r="A77" t="s">
        <v>145</v>
      </c>
      <c r="B77" t="s">
        <v>71</v>
      </c>
      <c r="C77" t="s">
        <v>41</v>
      </c>
      <c r="D77" t="s">
        <v>71</v>
      </c>
      <c r="E77">
        <v>-4.8927465249999997</v>
      </c>
      <c r="F77">
        <v>-6.0416018219999996</v>
      </c>
      <c r="G77">
        <v>-1.1488552970000001</v>
      </c>
      <c r="H77">
        <v>16</v>
      </c>
      <c r="I77">
        <v>6</v>
      </c>
      <c r="J77">
        <v>10</v>
      </c>
      <c r="K77">
        <v>0.375</v>
      </c>
      <c r="L77">
        <v>21.976245349999999</v>
      </c>
      <c r="M77">
        <v>12.00892359</v>
      </c>
      <c r="N77">
        <v>9.9673217649999994</v>
      </c>
      <c r="O77">
        <v>0.546450196</v>
      </c>
      <c r="P77">
        <v>-6.008923587</v>
      </c>
      <c r="Q77">
        <v>3.2678235E-2</v>
      </c>
      <c r="R77">
        <v>3</v>
      </c>
      <c r="S77">
        <v>1</v>
      </c>
      <c r="T77">
        <v>2.2939713E-2</v>
      </c>
      <c r="U77">
        <v>-6.2382519999999997E-3</v>
      </c>
      <c r="V77">
        <v>15</v>
      </c>
      <c r="W77">
        <v>6</v>
      </c>
      <c r="X77">
        <v>9</v>
      </c>
      <c r="Y77">
        <v>0.4</v>
      </c>
      <c r="Z77">
        <v>16.50329893</v>
      </c>
      <c r="AA77">
        <v>7.3260771150000004</v>
      </c>
      <c r="AB77">
        <v>9.1772218179999996</v>
      </c>
      <c r="AC77">
        <v>0.44391591899999999</v>
      </c>
      <c r="AD77">
        <v>-1.3260771149999999</v>
      </c>
      <c r="AE77">
        <v>-0.177221818</v>
      </c>
      <c r="AF77">
        <v>1</v>
      </c>
      <c r="AG77">
        <v>1</v>
      </c>
      <c r="AH77">
        <v>4.2424932999999998E-2</v>
      </c>
      <c r="AI77">
        <v>-3.864522E-3</v>
      </c>
      <c r="AJ77">
        <v>65</v>
      </c>
      <c r="AK77">
        <v>7</v>
      </c>
      <c r="AL77">
        <f t="shared" si="2"/>
        <v>0.4375</v>
      </c>
      <c r="AM77">
        <f t="shared" si="3"/>
        <v>0.1076923076923077</v>
      </c>
    </row>
    <row r="78" spans="1:39" x14ac:dyDescent="0.2">
      <c r="A78" t="s">
        <v>146</v>
      </c>
      <c r="B78" t="s">
        <v>107</v>
      </c>
      <c r="C78" t="s">
        <v>41</v>
      </c>
      <c r="D78" t="s">
        <v>107</v>
      </c>
      <c r="E78">
        <v>-15.723351320000001</v>
      </c>
      <c r="F78">
        <v>-8.1157529299999993</v>
      </c>
      <c r="G78">
        <v>7.6075983860000003</v>
      </c>
      <c r="H78">
        <v>41</v>
      </c>
      <c r="I78">
        <v>18</v>
      </c>
      <c r="J78">
        <v>23</v>
      </c>
      <c r="K78">
        <v>0.43902438999999999</v>
      </c>
      <c r="L78">
        <v>26.294761640000001</v>
      </c>
      <c r="M78">
        <v>14.70525728</v>
      </c>
      <c r="N78">
        <v>11.58950435</v>
      </c>
      <c r="O78">
        <v>0.55924664700000004</v>
      </c>
      <c r="P78">
        <v>3.2947427170000001</v>
      </c>
      <c r="Q78">
        <v>11.41049565</v>
      </c>
      <c r="R78">
        <v>5</v>
      </c>
      <c r="S78">
        <v>3</v>
      </c>
      <c r="T78">
        <v>2.4574544E-2</v>
      </c>
      <c r="U78">
        <v>1.3743213000000001E-2</v>
      </c>
      <c r="V78">
        <v>20</v>
      </c>
      <c r="W78">
        <v>10</v>
      </c>
      <c r="X78">
        <v>10</v>
      </c>
      <c r="Y78">
        <v>0.5</v>
      </c>
      <c r="Z78">
        <v>22.3916662</v>
      </c>
      <c r="AA78">
        <v>7.3920339049999999</v>
      </c>
      <c r="AB78">
        <v>14.999632289999999</v>
      </c>
      <c r="AC78">
        <v>0.33012433499999999</v>
      </c>
      <c r="AD78">
        <v>2.6079660950000001</v>
      </c>
      <c r="AE78">
        <v>-4.9996322910000002</v>
      </c>
      <c r="AF78">
        <v>3</v>
      </c>
      <c r="AG78">
        <v>1</v>
      </c>
      <c r="AH78">
        <v>4.1236953999999999E-2</v>
      </c>
      <c r="AI78">
        <v>-4.404542E-3</v>
      </c>
      <c r="AJ78">
        <v>74</v>
      </c>
      <c r="AK78">
        <v>25</v>
      </c>
      <c r="AL78">
        <f t="shared" si="2"/>
        <v>0.6097560975609756</v>
      </c>
      <c r="AM78">
        <f t="shared" si="3"/>
        <v>0.33783783783783783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abs-challenges-2026-catcher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Burman</dc:creator>
  <cp:lastModifiedBy>Anthony Burman</cp:lastModifiedBy>
  <dcterms:created xsi:type="dcterms:W3CDTF">2026-05-09T15:30:01Z</dcterms:created>
  <dcterms:modified xsi:type="dcterms:W3CDTF">2026-05-09T15:30:26Z</dcterms:modified>
</cp:coreProperties>
</file>