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honyburman/Documents/baseball_projects/abs-investigation/"/>
    </mc:Choice>
  </mc:AlternateContent>
  <xr:revisionPtr revIDLastSave="0" documentId="13_ncr:1_{F2892998-BEF6-1048-A56A-8B6E7FEF2444}" xr6:coauthVersionLast="47" xr6:coauthVersionMax="47" xr10:uidLastSave="{00000000-0000-0000-0000-000000000000}"/>
  <bookViews>
    <workbookView xWindow="160" yWindow="920" windowWidth="29920" windowHeight="16980" xr2:uid="{DA728889-8144-BD4C-875D-47E885D99FEB}"/>
  </bookViews>
  <sheets>
    <sheet name="abs-challenges-2026-catch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92" i="1" l="1"/>
  <c r="AM92" i="1"/>
  <c r="AL91" i="1"/>
  <c r="AM91" i="1"/>
  <c r="AL90" i="1"/>
  <c r="AM90" i="1"/>
  <c r="AL89" i="1"/>
  <c r="AM89" i="1"/>
  <c r="AL88" i="1"/>
  <c r="AM88" i="1"/>
  <c r="AL87" i="1"/>
  <c r="AM87" i="1"/>
  <c r="AL86" i="1"/>
  <c r="AM86" i="1"/>
  <c r="AL85" i="1"/>
  <c r="AM85" i="1"/>
  <c r="AL84" i="1"/>
  <c r="AM84" i="1"/>
  <c r="AL83" i="1"/>
  <c r="AM83" i="1"/>
  <c r="AL82" i="1"/>
  <c r="AM82" i="1"/>
  <c r="AL81" i="1"/>
  <c r="AM81" i="1"/>
  <c r="AL80" i="1"/>
  <c r="AM80" i="1"/>
  <c r="AL79" i="1"/>
  <c r="AM79" i="1"/>
  <c r="AL3" i="1"/>
  <c r="AM3" i="1"/>
  <c r="AL4" i="1"/>
  <c r="AM4" i="1"/>
  <c r="AL5" i="1"/>
  <c r="AM5" i="1"/>
  <c r="AL6" i="1"/>
  <c r="AM6" i="1"/>
  <c r="AL7" i="1"/>
  <c r="AM7" i="1"/>
  <c r="AL8" i="1"/>
  <c r="AM8" i="1"/>
  <c r="AL9" i="1"/>
  <c r="AM9" i="1"/>
  <c r="AL10" i="1"/>
  <c r="AM10" i="1"/>
  <c r="AL11" i="1"/>
  <c r="AM11" i="1"/>
  <c r="AL12" i="1"/>
  <c r="AM12" i="1"/>
  <c r="AL13" i="1"/>
  <c r="AM13" i="1"/>
  <c r="AL14" i="1"/>
  <c r="AM14" i="1"/>
  <c r="AL15" i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L48" i="1"/>
  <c r="AM48" i="1"/>
  <c r="AL49" i="1"/>
  <c r="AM49" i="1"/>
  <c r="AL50" i="1"/>
  <c r="AM50" i="1"/>
  <c r="AL51" i="1"/>
  <c r="AM51" i="1"/>
  <c r="AL52" i="1"/>
  <c r="AM52" i="1"/>
  <c r="AL53" i="1"/>
  <c r="AM53" i="1"/>
  <c r="AL54" i="1"/>
  <c r="AM54" i="1"/>
  <c r="AL55" i="1"/>
  <c r="AM55" i="1"/>
  <c r="AL56" i="1"/>
  <c r="AM56" i="1"/>
  <c r="AL57" i="1"/>
  <c r="AM57" i="1"/>
  <c r="AL58" i="1"/>
  <c r="AM58" i="1"/>
  <c r="AL59" i="1"/>
  <c r="AM59" i="1"/>
  <c r="AL60" i="1"/>
  <c r="AM60" i="1"/>
  <c r="AL61" i="1"/>
  <c r="AM61" i="1"/>
  <c r="AL62" i="1"/>
  <c r="AM62" i="1"/>
  <c r="AL63" i="1"/>
  <c r="AM63" i="1"/>
  <c r="AL64" i="1"/>
  <c r="AM64" i="1"/>
  <c r="AL65" i="1"/>
  <c r="AM65" i="1"/>
  <c r="AL66" i="1"/>
  <c r="AM66" i="1"/>
  <c r="AL67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M2" i="1"/>
  <c r="AL2" i="1"/>
</calcChain>
</file>

<file path=xl/sharedStrings.xml><?xml version="1.0" encoding="utf-8"?>
<sst xmlns="http://schemas.openxmlformats.org/spreadsheetml/2006/main" count="403" uniqueCount="161">
  <si>
    <t>entity_name</t>
  </si>
  <si>
    <t>team_abbr</t>
  </si>
  <si>
    <t>level</t>
  </si>
  <si>
    <t>parent_org</t>
  </si>
  <si>
    <t>total_vs_expected</t>
  </si>
  <si>
    <t>net_for</t>
  </si>
  <si>
    <t>net_against</t>
  </si>
  <si>
    <t>n_challenges</t>
  </si>
  <si>
    <t>n_overturns</t>
  </si>
  <si>
    <t>n_confirms</t>
  </si>
  <si>
    <t>rate_overturns</t>
  </si>
  <si>
    <t>exp_chal</t>
  </si>
  <si>
    <t>exp_chal_gained</t>
  </si>
  <si>
    <t>exp_chal_lost</t>
  </si>
  <si>
    <t>exp_rate_overturns</t>
  </si>
  <si>
    <t>net_chal_gained</t>
  </si>
  <si>
    <t>net_chal_lost</t>
  </si>
  <si>
    <t>n_strikeouts_flip</t>
  </si>
  <si>
    <t>n_walks_flip</t>
  </si>
  <si>
    <t>exp_rate_challenges</t>
  </si>
  <si>
    <t>exp_rate_challenges_diff</t>
  </si>
  <si>
    <t>n_challenges_against</t>
  </si>
  <si>
    <t>n_overturns_against</t>
  </si>
  <si>
    <t>n_confirms_against</t>
  </si>
  <si>
    <t>rate_overturns_against</t>
  </si>
  <si>
    <t>exp_chal_against</t>
  </si>
  <si>
    <t>exp_chal_gained_against</t>
  </si>
  <si>
    <t>exp_chal_lost_against</t>
  </si>
  <si>
    <t>exp_rate_overturns_against</t>
  </si>
  <si>
    <t>net_chal_gained_against</t>
  </si>
  <si>
    <t>net_chal_lost_against</t>
  </si>
  <si>
    <t>n_strikeouts_flip_against</t>
  </si>
  <si>
    <t>n_walks_flip_against</t>
  </si>
  <si>
    <t>exp_rate_challenges_against</t>
  </si>
  <si>
    <t>exp_rate_challenges_diff_against</t>
  </si>
  <si>
    <t>rsn_opp</t>
  </si>
  <si>
    <t>rsn_chal</t>
  </si>
  <si>
    <t>perc_chal_rsn</t>
  </si>
  <si>
    <t>perc_rsn_taken</t>
  </si>
  <si>
    <t>Dillon Dingler</t>
  </si>
  <si>
    <t>DET</t>
  </si>
  <si>
    <t>MLB</t>
  </si>
  <si>
    <t>Hunter Goodman</t>
  </si>
  <si>
    <t>COL</t>
  </si>
  <si>
    <t>Tyler Stephenson</t>
  </si>
  <si>
    <t>CIN</t>
  </si>
  <si>
    <t>Salvador Perez</t>
  </si>
  <si>
    <t>KC</t>
  </si>
  <si>
    <t>Agustin Ramirez</t>
  </si>
  <si>
    <t>MIA</t>
  </si>
  <si>
    <t>Carson Kelly</t>
  </si>
  <si>
    <t>CHC</t>
  </si>
  <si>
    <t>Will Smith</t>
  </si>
  <si>
    <t>LAD</t>
  </si>
  <si>
    <t>Victor Caratini</t>
  </si>
  <si>
    <t>MIN</t>
  </si>
  <si>
    <t>Ivan Herrera</t>
  </si>
  <si>
    <t>STL</t>
  </si>
  <si>
    <t>Austin Wells</t>
  </si>
  <si>
    <t>NYY</t>
  </si>
  <si>
    <t>Drake Baldwin</t>
  </si>
  <si>
    <t>ATL</t>
  </si>
  <si>
    <t>Mitch Garver</t>
  </si>
  <si>
    <t>SEA</t>
  </si>
  <si>
    <t>Pedro Pages</t>
  </si>
  <si>
    <t>Logan O'Hoppe</t>
  </si>
  <si>
    <t>LAA</t>
  </si>
  <si>
    <t>Cal Raleigh</t>
  </si>
  <si>
    <t>Patrick Bailey</t>
  </si>
  <si>
    <t>SF</t>
  </si>
  <si>
    <t>Adley Rutschman</t>
  </si>
  <si>
    <t>BAL</t>
  </si>
  <si>
    <t>Luis Campusano</t>
  </si>
  <si>
    <t>SD</t>
  </si>
  <si>
    <t>Yainer Diaz</t>
  </si>
  <si>
    <t>HOU</t>
  </si>
  <si>
    <t>Ryan Jeffers</t>
  </si>
  <si>
    <t>J.T. Realmuto</t>
  </si>
  <si>
    <t>PHI</t>
  </si>
  <si>
    <t>Travis d'Arnaud</t>
  </si>
  <si>
    <t>Connor Wong</t>
  </si>
  <si>
    <t>BOS</t>
  </si>
  <si>
    <t>James McCann</t>
  </si>
  <si>
    <t>AZ</t>
  </si>
  <si>
    <t>Miguel Amaya</t>
  </si>
  <si>
    <t>Austin Hedges</t>
  </si>
  <si>
    <t>CLE</t>
  </si>
  <si>
    <t>P.J. Higgins</t>
  </si>
  <si>
    <t>Adrian Del Castillo</t>
  </si>
  <si>
    <t>Danny Jansen</t>
  </si>
  <si>
    <t>TEX</t>
  </si>
  <si>
    <t>Jake Rogers</t>
  </si>
  <si>
    <t>William Contreras</t>
  </si>
  <si>
    <t>MIL</t>
  </si>
  <si>
    <t>Sebastian Rivero</t>
  </si>
  <si>
    <t>Freddy Fermin</t>
  </si>
  <si>
    <t>Gary Sanchez</t>
  </si>
  <si>
    <t>Jonah Heim</t>
  </si>
  <si>
    <t>Brandon Valenzuela</t>
  </si>
  <si>
    <t>TOR</t>
  </si>
  <si>
    <t>Liam Hicks</t>
  </si>
  <si>
    <t>Hunter Feduccia</t>
  </si>
  <si>
    <t>TB</t>
  </si>
  <si>
    <t>Tyler Heineman</t>
  </si>
  <si>
    <t>Jesus Rodriguez</t>
  </si>
  <si>
    <t>Bo Naylor</t>
  </si>
  <si>
    <t>Reese McGuire</t>
  </si>
  <si>
    <t>CWS</t>
  </si>
  <si>
    <t>J.C. Escarra</t>
  </si>
  <si>
    <t>Alejandro Kirk</t>
  </si>
  <si>
    <t>Jeferson Quero</t>
  </si>
  <si>
    <t>Gabriel Moreno</t>
  </si>
  <si>
    <t>Sean Murphy</t>
  </si>
  <si>
    <t>Kyle Higashioka</t>
  </si>
  <si>
    <t>Henry Davis</t>
  </si>
  <si>
    <t>PIT</t>
  </si>
  <si>
    <t>Sam Huff</t>
  </si>
  <si>
    <t>Daniel Susac</t>
  </si>
  <si>
    <t>Luis Torrens</t>
  </si>
  <si>
    <t>NYM</t>
  </si>
  <si>
    <t>Drew Millas</t>
  </si>
  <si>
    <t>WSH</t>
  </si>
  <si>
    <t>Yohel Pozo</t>
  </si>
  <si>
    <t>Joey Bart</t>
  </si>
  <si>
    <t>Rafael Marchan</t>
  </si>
  <si>
    <t>Moises Ballesteros</t>
  </si>
  <si>
    <t>Garrett Stubbs</t>
  </si>
  <si>
    <t>Christian Vazquez</t>
  </si>
  <si>
    <t>Keibert Ruiz</t>
  </si>
  <si>
    <t>Brett Sullivan</t>
  </si>
  <si>
    <t>Nick Fortes</t>
  </si>
  <si>
    <t>David Fry</t>
  </si>
  <si>
    <t>Jose Trevino</t>
  </si>
  <si>
    <t>Eric Haase</t>
  </si>
  <si>
    <t>Austin Wynns</t>
  </si>
  <si>
    <t>ATH</t>
  </si>
  <si>
    <t>Shea Langeliers</t>
  </si>
  <si>
    <t>Joe Mack</t>
  </si>
  <si>
    <t>Elias Diaz</t>
  </si>
  <si>
    <t>Jhonny Pereda</t>
  </si>
  <si>
    <t>Francisco Alvarez</t>
  </si>
  <si>
    <t>Carter Jensen</t>
  </si>
  <si>
    <t>Drew Romo</t>
  </si>
  <si>
    <t>Dalton Rushing</t>
  </si>
  <si>
    <t>Carlos Narvaez</t>
  </si>
  <si>
    <t>Samuel Basallo</t>
  </si>
  <si>
    <t>Edgar Quero</t>
  </si>
  <si>
    <t>Sandy Leon</t>
  </si>
  <si>
    <t>Rodolfo Duran</t>
  </si>
  <si>
    <t>Mickey Gasper</t>
  </si>
  <si>
    <t>Logan Porter</t>
  </si>
  <si>
    <t>Braxton Fulford</t>
  </si>
  <si>
    <t>Ali Sanchez</t>
  </si>
  <si>
    <t>Jimmy Crooks</t>
  </si>
  <si>
    <t>Chuckie Robinson</t>
  </si>
  <si>
    <t>Aramis Garcia</t>
  </si>
  <si>
    <t>Hayden Senger</t>
  </si>
  <si>
    <t>Cesar Salazar</t>
  </si>
  <si>
    <t>Chadwick Tromp</t>
  </si>
  <si>
    <t>Endy Rodriguez</t>
  </si>
  <si>
    <t>Alex Jackson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</si>
</sst>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0D910-F3EE-E841-BC93-E7BF604F5132}">
  <dimension ref="A1:AM92"/>
  <sheetViews>
    <sheetView tabSelected="1" topLeftCell="Z14" workbookViewId="0">
      <selection activeCell="AO49" sqref="AO49"/>
    </sheetView>
  </sheetViews>
  <sheetFormatPr baseColWidth="10" defaultRowHeight="16" x14ac:dyDescent="0.2"/>
  <sheetData>
    <row r="1" spans="1:3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">
      <c r="A2" t="s">
        <v>39</v>
      </c>
      <c r="B2" t="s">
        <v>40</v>
      </c>
      <c r="C2" t="s">
        <v>41</v>
      </c>
      <c r="D2" t="s">
        <v>40</v>
      </c>
      <c r="E2">
        <v>27.142436063831401</v>
      </c>
      <c r="F2">
        <v>15.0570092640708</v>
      </c>
      <c r="G2">
        <v>-12.085426799760601</v>
      </c>
      <c r="H2">
        <v>49</v>
      </c>
      <c r="I2">
        <v>34</v>
      </c>
      <c r="J2">
        <v>15</v>
      </c>
      <c r="K2">
        <v>0.69387755102040805</v>
      </c>
      <c r="L2">
        <v>59.523773955871</v>
      </c>
      <c r="M2">
        <v>31.7333823459001</v>
      </c>
      <c r="N2">
        <v>27.7903916099709</v>
      </c>
      <c r="O2">
        <v>0.53312114197305704</v>
      </c>
      <c r="P2">
        <v>2.2666176540999001</v>
      </c>
      <c r="Q2">
        <v>-12.7903916099709</v>
      </c>
      <c r="R2">
        <v>10</v>
      </c>
      <c r="S2">
        <v>3</v>
      </c>
      <c r="T2">
        <v>2.18035802036157E-2</v>
      </c>
      <c r="U2">
        <v>-3.8548622548978E-3</v>
      </c>
      <c r="V2">
        <v>60</v>
      </c>
      <c r="W2">
        <v>25</v>
      </c>
      <c r="X2">
        <v>35</v>
      </c>
      <c r="Y2">
        <v>0.41666666666666602</v>
      </c>
      <c r="Z2">
        <v>54.174622231162303</v>
      </c>
      <c r="AA2">
        <v>28.1300245154614</v>
      </c>
      <c r="AB2">
        <v>26.0445977157008</v>
      </c>
      <c r="AC2">
        <v>0.519247266652475</v>
      </c>
      <c r="AD2">
        <v>-3.1300245154614901</v>
      </c>
      <c r="AE2">
        <v>8.9554022842991596</v>
      </c>
      <c r="AF2">
        <v>6</v>
      </c>
      <c r="AG2">
        <v>8</v>
      </c>
      <c r="AH2">
        <v>4.6945079923017601E-2</v>
      </c>
      <c r="AI2">
        <v>5.0479876679702497E-3</v>
      </c>
      <c r="AJ2">
        <v>182</v>
      </c>
      <c r="AK2">
        <v>39</v>
      </c>
      <c r="AL2">
        <f>AK2/H2</f>
        <v>0.79591836734693877</v>
      </c>
      <c r="AM2">
        <f>AK2/AJ2</f>
        <v>0.21428571428571427</v>
      </c>
    </row>
    <row r="3" spans="1:39" x14ac:dyDescent="0.2">
      <c r="A3" t="s">
        <v>42</v>
      </c>
      <c r="B3" t="s">
        <v>43</v>
      </c>
      <c r="C3" t="s">
        <v>41</v>
      </c>
      <c r="D3" t="s">
        <v>43</v>
      </c>
      <c r="E3">
        <v>4.1674529413477597</v>
      </c>
      <c r="F3">
        <v>12.3807755040892</v>
      </c>
      <c r="G3">
        <v>8.2133225627414408</v>
      </c>
      <c r="H3">
        <v>57</v>
      </c>
      <c r="I3">
        <v>37</v>
      </c>
      <c r="J3">
        <v>20</v>
      </c>
      <c r="K3">
        <v>0.64912280701754299</v>
      </c>
      <c r="L3">
        <v>48.358352888327602</v>
      </c>
      <c r="M3">
        <v>26.488788692119201</v>
      </c>
      <c r="N3">
        <v>21.869564196208401</v>
      </c>
      <c r="O3">
        <v>0.54776035803553702</v>
      </c>
      <c r="P3">
        <v>10.5112113078807</v>
      </c>
      <c r="Q3">
        <v>-1.86956419620842</v>
      </c>
      <c r="R3">
        <v>13</v>
      </c>
      <c r="S3">
        <v>3</v>
      </c>
      <c r="T3">
        <v>1.9991051214686899E-2</v>
      </c>
      <c r="U3">
        <v>3.57240475885587E-3</v>
      </c>
      <c r="V3">
        <v>40</v>
      </c>
      <c r="W3">
        <v>22</v>
      </c>
      <c r="X3">
        <v>18</v>
      </c>
      <c r="Y3">
        <v>0.55000000000000004</v>
      </c>
      <c r="Z3">
        <v>37.190539784195799</v>
      </c>
      <c r="AA3">
        <v>16.488608610727098</v>
      </c>
      <c r="AB3">
        <v>20.701931173468601</v>
      </c>
      <c r="AC3">
        <v>0.44335491515866698</v>
      </c>
      <c r="AD3">
        <v>5.5113913892728004</v>
      </c>
      <c r="AE3">
        <v>-2.7019311734686302</v>
      </c>
      <c r="AF3">
        <v>4</v>
      </c>
      <c r="AG3">
        <v>1</v>
      </c>
      <c r="AH3">
        <v>3.6177567883458897E-2</v>
      </c>
      <c r="AI3">
        <v>2.73293795311691E-3</v>
      </c>
      <c r="AJ3">
        <v>157</v>
      </c>
      <c r="AK3">
        <v>49</v>
      </c>
      <c r="AL3">
        <f t="shared" ref="AL3:AL66" si="0">AK3/H3</f>
        <v>0.85964912280701755</v>
      </c>
      <c r="AM3">
        <f t="shared" ref="AM3:AM66" si="1">AK3/AJ3</f>
        <v>0.31210191082802546</v>
      </c>
    </row>
    <row r="4" spans="1:39" x14ac:dyDescent="0.2">
      <c r="A4" t="s">
        <v>46</v>
      </c>
      <c r="B4" t="s">
        <v>47</v>
      </c>
      <c r="C4" t="s">
        <v>41</v>
      </c>
      <c r="D4" t="s">
        <v>47</v>
      </c>
      <c r="E4">
        <v>14.811147457625101</v>
      </c>
      <c r="F4">
        <v>11.0572542012321</v>
      </c>
      <c r="G4">
        <v>-3.7538932563929301</v>
      </c>
      <c r="H4">
        <v>53</v>
      </c>
      <c r="I4">
        <v>38</v>
      </c>
      <c r="J4">
        <v>15</v>
      </c>
      <c r="K4">
        <v>0.71698113207547098</v>
      </c>
      <c r="L4">
        <v>47.279430650443999</v>
      </c>
      <c r="M4">
        <v>29.611088224605901</v>
      </c>
      <c r="N4">
        <v>17.668342425838102</v>
      </c>
      <c r="O4">
        <v>0.62629959407786995</v>
      </c>
      <c r="P4">
        <v>8.3889117753940603</v>
      </c>
      <c r="Q4">
        <v>-2.6683424258381199</v>
      </c>
      <c r="R4">
        <v>8</v>
      </c>
      <c r="S4">
        <v>6</v>
      </c>
      <c r="T4">
        <v>2.7001388149882299E-2</v>
      </c>
      <c r="U4">
        <v>3.2670298969479802E-3</v>
      </c>
      <c r="V4">
        <v>35</v>
      </c>
      <c r="W4">
        <v>13</v>
      </c>
      <c r="X4">
        <v>22</v>
      </c>
      <c r="Y4">
        <v>0.371428571428571</v>
      </c>
      <c r="Z4">
        <v>27.8278407368682</v>
      </c>
      <c r="AA4">
        <v>11.2908669966305</v>
      </c>
      <c r="AB4">
        <v>16.536973740237599</v>
      </c>
      <c r="AC4">
        <v>0.40573996032942899</v>
      </c>
      <c r="AD4">
        <v>1.7091330033694001</v>
      </c>
      <c r="AE4">
        <v>5.4630262597623398</v>
      </c>
      <c r="AF4">
        <v>5</v>
      </c>
      <c r="AG4">
        <v>2</v>
      </c>
      <c r="AH4">
        <v>3.8596173005365102E-2</v>
      </c>
      <c r="AI4">
        <v>9.9475163150232401E-3</v>
      </c>
      <c r="AJ4">
        <v>138</v>
      </c>
      <c r="AK4">
        <v>42</v>
      </c>
      <c r="AL4">
        <f t="shared" si="0"/>
        <v>0.79245283018867929</v>
      </c>
      <c r="AM4">
        <f t="shared" si="1"/>
        <v>0.30434782608695654</v>
      </c>
    </row>
    <row r="5" spans="1:39" x14ac:dyDescent="0.2">
      <c r="A5" t="s">
        <v>62</v>
      </c>
      <c r="B5" t="s">
        <v>63</v>
      </c>
      <c r="C5" t="s">
        <v>41</v>
      </c>
      <c r="D5" t="s">
        <v>63</v>
      </c>
      <c r="E5">
        <v>3.4471675304484801</v>
      </c>
      <c r="F5">
        <v>9.6557257911671304</v>
      </c>
      <c r="G5">
        <v>6.2085582607186502</v>
      </c>
      <c r="H5">
        <v>25</v>
      </c>
      <c r="I5">
        <v>20</v>
      </c>
      <c r="J5">
        <v>5</v>
      </c>
      <c r="K5">
        <v>0.8</v>
      </c>
      <c r="L5">
        <v>29.8845615938111</v>
      </c>
      <c r="M5">
        <v>17.6144179013219</v>
      </c>
      <c r="N5">
        <v>12.2701436924891</v>
      </c>
      <c r="O5">
        <v>0.589415302146169</v>
      </c>
      <c r="P5">
        <v>2.3855820986779999</v>
      </c>
      <c r="Q5">
        <v>-7.2701436924891203</v>
      </c>
      <c r="R5">
        <v>4</v>
      </c>
      <c r="S5">
        <v>0</v>
      </c>
      <c r="T5">
        <v>2.3945962815553699E-2</v>
      </c>
      <c r="U5">
        <v>-3.9139115335024999E-3</v>
      </c>
      <c r="V5">
        <v>34</v>
      </c>
      <c r="W5">
        <v>18</v>
      </c>
      <c r="X5">
        <v>16</v>
      </c>
      <c r="Y5">
        <v>0.52941176470588203</v>
      </c>
      <c r="Z5">
        <v>22.490595282969299</v>
      </c>
      <c r="AA5">
        <v>9.1410185111253206</v>
      </c>
      <c r="AB5">
        <v>13.3495767718439</v>
      </c>
      <c r="AC5">
        <v>0.40643737509461197</v>
      </c>
      <c r="AD5">
        <v>8.8589814888746705</v>
      </c>
      <c r="AE5">
        <v>2.6504232281560198</v>
      </c>
      <c r="AF5">
        <v>7</v>
      </c>
      <c r="AG5">
        <v>3</v>
      </c>
      <c r="AH5">
        <v>4.6276945026685799E-2</v>
      </c>
      <c r="AI5">
        <v>2.3681902709939699E-2</v>
      </c>
      <c r="AJ5">
        <v>81</v>
      </c>
      <c r="AK5">
        <v>23</v>
      </c>
      <c r="AL5">
        <f t="shared" si="0"/>
        <v>0.92</v>
      </c>
      <c r="AM5">
        <f t="shared" si="1"/>
        <v>0.2839506172839506</v>
      </c>
    </row>
    <row r="6" spans="1:39" x14ac:dyDescent="0.2">
      <c r="A6" t="s">
        <v>54</v>
      </c>
      <c r="B6" t="s">
        <v>55</v>
      </c>
      <c r="C6" t="s">
        <v>41</v>
      </c>
      <c r="D6" t="s">
        <v>55</v>
      </c>
      <c r="E6">
        <v>19.58579891119</v>
      </c>
      <c r="F6">
        <v>9.5572586743025294</v>
      </c>
      <c r="G6">
        <v>-10.0285402368874</v>
      </c>
      <c r="H6">
        <v>53</v>
      </c>
      <c r="I6">
        <v>35</v>
      </c>
      <c r="J6">
        <v>18</v>
      </c>
      <c r="K6">
        <v>0.660377358490566</v>
      </c>
      <c r="L6">
        <v>35.027197593185498</v>
      </c>
      <c r="M6">
        <v>21.234969459441398</v>
      </c>
      <c r="N6">
        <v>13.792228133744</v>
      </c>
      <c r="O6">
        <v>0.60624231792876004</v>
      </c>
      <c r="P6">
        <v>13.765030540558501</v>
      </c>
      <c r="Q6">
        <v>4.20777186625598</v>
      </c>
      <c r="R6">
        <v>10</v>
      </c>
      <c r="S6">
        <v>3</v>
      </c>
      <c r="T6">
        <v>1.99244582441328E-2</v>
      </c>
      <c r="U6">
        <v>1.0223437091475799E-2</v>
      </c>
      <c r="V6">
        <v>30</v>
      </c>
      <c r="W6">
        <v>12</v>
      </c>
      <c r="X6">
        <v>18</v>
      </c>
      <c r="Y6">
        <v>0.4</v>
      </c>
      <c r="Z6">
        <v>41.594965649433</v>
      </c>
      <c r="AA6">
        <v>22.811752943160201</v>
      </c>
      <c r="AB6">
        <v>18.7832127062727</v>
      </c>
      <c r="AC6">
        <v>0.548425815167638</v>
      </c>
      <c r="AD6">
        <v>-10.811752943160201</v>
      </c>
      <c r="AE6">
        <v>-0.78321270627279305</v>
      </c>
      <c r="AF6">
        <v>3</v>
      </c>
      <c r="AG6">
        <v>1</v>
      </c>
      <c r="AH6">
        <v>4.7865322956769901E-2</v>
      </c>
      <c r="AI6">
        <v>-1.3342883371039199E-2</v>
      </c>
      <c r="AJ6">
        <v>114</v>
      </c>
      <c r="AK6">
        <v>41</v>
      </c>
      <c r="AL6">
        <f t="shared" si="0"/>
        <v>0.77358490566037741</v>
      </c>
      <c r="AM6">
        <f t="shared" si="1"/>
        <v>0.35964912280701755</v>
      </c>
    </row>
    <row r="7" spans="1:39" x14ac:dyDescent="0.2">
      <c r="A7" t="s">
        <v>84</v>
      </c>
      <c r="B7" t="s">
        <v>51</v>
      </c>
      <c r="C7" t="s">
        <v>41</v>
      </c>
      <c r="D7" t="s">
        <v>51</v>
      </c>
      <c r="E7">
        <v>1.62131007588396</v>
      </c>
      <c r="F7">
        <v>8.7260452596269893</v>
      </c>
      <c r="G7">
        <v>7.1047351837430197</v>
      </c>
      <c r="H7">
        <v>35</v>
      </c>
      <c r="I7">
        <v>23</v>
      </c>
      <c r="J7">
        <v>12</v>
      </c>
      <c r="K7">
        <v>0.65714285714285703</v>
      </c>
      <c r="L7">
        <v>24.895439636593601</v>
      </c>
      <c r="M7">
        <v>13.5846971884833</v>
      </c>
      <c r="N7">
        <v>11.3107424481103</v>
      </c>
      <c r="O7">
        <v>0.54567010612318201</v>
      </c>
      <c r="P7">
        <v>9.4153028115166801</v>
      </c>
      <c r="Q7">
        <v>0.68925755188969395</v>
      </c>
      <c r="R7">
        <v>2</v>
      </c>
      <c r="S7">
        <v>1</v>
      </c>
      <c r="T7">
        <v>1.8874480391655499E-2</v>
      </c>
      <c r="U7">
        <v>7.6607735886325802E-3</v>
      </c>
      <c r="V7">
        <v>16</v>
      </c>
      <c r="W7">
        <v>10</v>
      </c>
      <c r="X7">
        <v>6</v>
      </c>
      <c r="Y7">
        <v>0.625</v>
      </c>
      <c r="Z7">
        <v>22.5502048900867</v>
      </c>
      <c r="AA7">
        <v>9.7227348531718594</v>
      </c>
      <c r="AB7">
        <v>12.8274700369148</v>
      </c>
      <c r="AC7">
        <v>0.431159490592746</v>
      </c>
      <c r="AD7">
        <v>0.27726514682813502</v>
      </c>
      <c r="AE7">
        <v>-6.82747003691488</v>
      </c>
      <c r="AF7">
        <v>5</v>
      </c>
      <c r="AG7">
        <v>2</v>
      </c>
      <c r="AH7">
        <v>3.8156015042447901E-2</v>
      </c>
      <c r="AI7">
        <v>-1.1083257005222899E-2</v>
      </c>
      <c r="AJ7">
        <v>81</v>
      </c>
      <c r="AK7">
        <v>28</v>
      </c>
      <c r="AL7">
        <f t="shared" si="0"/>
        <v>0.8</v>
      </c>
      <c r="AM7">
        <f t="shared" si="1"/>
        <v>0.34567901234567899</v>
      </c>
    </row>
    <row r="8" spans="1:39" x14ac:dyDescent="0.2">
      <c r="A8" t="s">
        <v>60</v>
      </c>
      <c r="B8" t="s">
        <v>61</v>
      </c>
      <c r="C8" t="s">
        <v>41</v>
      </c>
      <c r="D8" t="s">
        <v>61</v>
      </c>
      <c r="E8">
        <v>5.0148529175142196</v>
      </c>
      <c r="F8">
        <v>8.5937479642308592</v>
      </c>
      <c r="G8">
        <v>3.5788950467166298</v>
      </c>
      <c r="H8">
        <v>27</v>
      </c>
      <c r="I8">
        <v>20</v>
      </c>
      <c r="J8">
        <v>7</v>
      </c>
      <c r="K8">
        <v>0.74074074074074003</v>
      </c>
      <c r="L8">
        <v>30.3119440626275</v>
      </c>
      <c r="M8">
        <v>17.359098049198298</v>
      </c>
      <c r="N8">
        <v>12.9528460134292</v>
      </c>
      <c r="O8">
        <v>0.57268177894933703</v>
      </c>
      <c r="P8">
        <v>2.64090195080164</v>
      </c>
      <c r="Q8">
        <v>-5.9528460134292196</v>
      </c>
      <c r="R8">
        <v>6</v>
      </c>
      <c r="S8">
        <v>5</v>
      </c>
      <c r="T8">
        <v>2.1316416359091098E-2</v>
      </c>
      <c r="U8">
        <v>-2.3290745869392099E-3</v>
      </c>
      <c r="V8">
        <v>23</v>
      </c>
      <c r="W8">
        <v>11</v>
      </c>
      <c r="X8">
        <v>12</v>
      </c>
      <c r="Y8">
        <v>0.47826086956521702</v>
      </c>
      <c r="Z8">
        <v>29.336710239431799</v>
      </c>
      <c r="AA8">
        <v>12.3789075963575</v>
      </c>
      <c r="AB8">
        <v>16.957802643074199</v>
      </c>
      <c r="AC8">
        <v>0.42195963675977999</v>
      </c>
      <c r="AD8">
        <v>-1.3789075963575801</v>
      </c>
      <c r="AE8">
        <v>-4.9578026430742099</v>
      </c>
      <c r="AF8">
        <v>1</v>
      </c>
      <c r="AG8">
        <v>0</v>
      </c>
      <c r="AH8">
        <v>4.31422209403408E-2</v>
      </c>
      <c r="AI8">
        <v>-9.3186915285761798E-3</v>
      </c>
      <c r="AJ8">
        <v>83</v>
      </c>
      <c r="AK8">
        <v>22</v>
      </c>
      <c r="AL8">
        <f t="shared" si="0"/>
        <v>0.81481481481481477</v>
      </c>
      <c r="AM8">
        <f t="shared" si="1"/>
        <v>0.26506024096385544</v>
      </c>
    </row>
    <row r="9" spans="1:39" x14ac:dyDescent="0.2">
      <c r="A9" t="s">
        <v>58</v>
      </c>
      <c r="B9" t="s">
        <v>59</v>
      </c>
      <c r="C9" t="s">
        <v>41</v>
      </c>
      <c r="D9" t="s">
        <v>59</v>
      </c>
      <c r="E9">
        <v>-3.9587495391012699</v>
      </c>
      <c r="F9">
        <v>7.8690251339144304</v>
      </c>
      <c r="G9">
        <v>11.8277746730157</v>
      </c>
      <c r="H9">
        <v>48</v>
      </c>
      <c r="I9">
        <v>30</v>
      </c>
      <c r="J9">
        <v>18</v>
      </c>
      <c r="K9">
        <v>0.625</v>
      </c>
      <c r="L9">
        <v>44.155336213388502</v>
      </c>
      <c r="M9">
        <v>24.143155539736998</v>
      </c>
      <c r="N9">
        <v>20.0121806736515</v>
      </c>
      <c r="O9">
        <v>0.54677775349871505</v>
      </c>
      <c r="P9">
        <v>5.8568444602629297</v>
      </c>
      <c r="Q9">
        <v>-2.01218067365149</v>
      </c>
      <c r="R9">
        <v>7</v>
      </c>
      <c r="S9">
        <v>2</v>
      </c>
      <c r="T9">
        <v>2.1539188396774898E-2</v>
      </c>
      <c r="U9">
        <v>1.87544574956655E-3</v>
      </c>
      <c r="V9">
        <v>46</v>
      </c>
      <c r="W9">
        <v>29</v>
      </c>
      <c r="X9">
        <v>17</v>
      </c>
      <c r="Y9">
        <v>0.63043478260869501</v>
      </c>
      <c r="Z9">
        <v>45.9208269418532</v>
      </c>
      <c r="AA9">
        <v>23.046526134418698</v>
      </c>
      <c r="AB9">
        <v>22.874300807434398</v>
      </c>
      <c r="AC9">
        <v>0.50187524200296196</v>
      </c>
      <c r="AD9">
        <v>5.9534738655812101</v>
      </c>
      <c r="AE9">
        <v>-5.8743008074344898</v>
      </c>
      <c r="AF9">
        <v>8</v>
      </c>
      <c r="AG9">
        <v>1</v>
      </c>
      <c r="AH9">
        <v>4.5153222165047399E-2</v>
      </c>
      <c r="AI9">
        <v>7.7849614696882106E-5</v>
      </c>
      <c r="AJ9">
        <v>126</v>
      </c>
      <c r="AK9">
        <v>37</v>
      </c>
      <c r="AL9">
        <f t="shared" si="0"/>
        <v>0.77083333333333337</v>
      </c>
      <c r="AM9">
        <f t="shared" si="1"/>
        <v>0.29365079365079366</v>
      </c>
    </row>
    <row r="10" spans="1:39" x14ac:dyDescent="0.2">
      <c r="A10" t="s">
        <v>48</v>
      </c>
      <c r="B10" t="s">
        <v>49</v>
      </c>
      <c r="C10" t="s">
        <v>41</v>
      </c>
      <c r="D10" t="s">
        <v>49</v>
      </c>
      <c r="E10">
        <v>10.0959064751739</v>
      </c>
      <c r="F10">
        <v>7.1909961803111404</v>
      </c>
      <c r="G10">
        <v>-2.9049102948627801</v>
      </c>
      <c r="H10">
        <v>31</v>
      </c>
      <c r="I10">
        <v>22</v>
      </c>
      <c r="J10">
        <v>9</v>
      </c>
      <c r="K10">
        <v>0.70967741935483797</v>
      </c>
      <c r="L10">
        <v>20.539027547398199</v>
      </c>
      <c r="M10">
        <v>13.1740156835435</v>
      </c>
      <c r="N10">
        <v>7.3650118638547104</v>
      </c>
      <c r="O10">
        <v>0.64141379883451899</v>
      </c>
      <c r="P10">
        <v>8.8259843164564202</v>
      </c>
      <c r="Q10">
        <v>1.63498813614528</v>
      </c>
      <c r="R10">
        <v>2</v>
      </c>
      <c r="S10">
        <v>2</v>
      </c>
      <c r="T10">
        <v>2.39382605447532E-2</v>
      </c>
      <c r="U10">
        <v>1.21922755857828E-2</v>
      </c>
      <c r="V10">
        <v>14</v>
      </c>
      <c r="W10">
        <v>5</v>
      </c>
      <c r="X10">
        <v>9</v>
      </c>
      <c r="Y10">
        <v>0.35714285714285698</v>
      </c>
      <c r="Z10">
        <v>12.513585971905901</v>
      </c>
      <c r="AA10">
        <v>5.7092481333843397</v>
      </c>
      <c r="AB10">
        <v>6.80433783852156</v>
      </c>
      <c r="AC10">
        <v>0.45624396925086902</v>
      </c>
      <c r="AD10">
        <v>-0.709248133384344</v>
      </c>
      <c r="AE10">
        <v>2.1956621614784302</v>
      </c>
      <c r="AF10">
        <v>2</v>
      </c>
      <c r="AG10">
        <v>0</v>
      </c>
      <c r="AH10">
        <v>3.4567917049463798E-2</v>
      </c>
      <c r="AI10">
        <v>4.1061160997074497E-3</v>
      </c>
      <c r="AJ10">
        <v>62</v>
      </c>
      <c r="AK10">
        <v>23</v>
      </c>
      <c r="AL10">
        <f t="shared" si="0"/>
        <v>0.74193548387096775</v>
      </c>
      <c r="AM10">
        <f t="shared" si="1"/>
        <v>0.37096774193548387</v>
      </c>
    </row>
    <row r="11" spans="1:39" x14ac:dyDescent="0.2">
      <c r="A11" t="s">
        <v>56</v>
      </c>
      <c r="B11" t="s">
        <v>57</v>
      </c>
      <c r="C11" t="s">
        <v>41</v>
      </c>
      <c r="D11" t="s">
        <v>57</v>
      </c>
      <c r="E11">
        <v>6.3719159245179497</v>
      </c>
      <c r="F11">
        <v>7.0798473541901803</v>
      </c>
      <c r="G11">
        <v>0.70793142967223399</v>
      </c>
      <c r="H11">
        <v>28</v>
      </c>
      <c r="I11">
        <v>18</v>
      </c>
      <c r="J11">
        <v>10</v>
      </c>
      <c r="K11">
        <v>0.64285714285714202</v>
      </c>
      <c r="L11">
        <v>38.165492877625503</v>
      </c>
      <c r="M11">
        <v>19.542822761717598</v>
      </c>
      <c r="N11">
        <v>18.622670115907798</v>
      </c>
      <c r="O11">
        <v>0.51205477220954798</v>
      </c>
      <c r="P11">
        <v>-1.5428227617176899</v>
      </c>
      <c r="Q11">
        <v>-8.62267011590788</v>
      </c>
      <c r="R11">
        <v>6</v>
      </c>
      <c r="S11">
        <v>4</v>
      </c>
      <c r="T11">
        <v>2.5597245390761601E-2</v>
      </c>
      <c r="U11">
        <v>-6.8179026677569103E-3</v>
      </c>
      <c r="V11">
        <v>23</v>
      </c>
      <c r="W11">
        <v>12</v>
      </c>
      <c r="X11">
        <v>11</v>
      </c>
      <c r="Y11">
        <v>0.52173913043478204</v>
      </c>
      <c r="Z11">
        <v>27.266940677925099</v>
      </c>
      <c r="AA11">
        <v>13.7795046241264</v>
      </c>
      <c r="AB11">
        <v>13.4874360537986</v>
      </c>
      <c r="AC11">
        <v>0.50535572680810903</v>
      </c>
      <c r="AD11">
        <v>-1.7795046241264301</v>
      </c>
      <c r="AE11">
        <v>-2.48743605379866</v>
      </c>
      <c r="AF11">
        <v>3</v>
      </c>
      <c r="AG11">
        <v>0</v>
      </c>
      <c r="AH11">
        <v>4.1692569843922098E-2</v>
      </c>
      <c r="AI11">
        <v>-6.5243741252677297E-3</v>
      </c>
      <c r="AJ11">
        <v>103</v>
      </c>
      <c r="AK11">
        <v>23</v>
      </c>
      <c r="AL11">
        <f t="shared" si="0"/>
        <v>0.8214285714285714</v>
      </c>
      <c r="AM11">
        <f t="shared" si="1"/>
        <v>0.22330097087378642</v>
      </c>
    </row>
    <row r="12" spans="1:39" x14ac:dyDescent="0.2">
      <c r="A12" t="s">
        <v>50</v>
      </c>
      <c r="B12" t="s">
        <v>51</v>
      </c>
      <c r="C12" t="s">
        <v>41</v>
      </c>
      <c r="D12" t="s">
        <v>51</v>
      </c>
      <c r="E12">
        <v>6.3640899024767803</v>
      </c>
      <c r="F12">
        <v>6.9461035577129504</v>
      </c>
      <c r="G12">
        <v>0.582013655236163</v>
      </c>
      <c r="H12">
        <v>37</v>
      </c>
      <c r="I12">
        <v>29</v>
      </c>
      <c r="J12">
        <v>8</v>
      </c>
      <c r="K12">
        <v>0.78378378378378299</v>
      </c>
      <c r="L12">
        <v>57.134267271932899</v>
      </c>
      <c r="M12">
        <v>35.594081857109899</v>
      </c>
      <c r="N12">
        <v>21.540185414822901</v>
      </c>
      <c r="O12">
        <v>0.62299008207628603</v>
      </c>
      <c r="P12">
        <v>-6.5940818571099804</v>
      </c>
      <c r="Q12">
        <v>-13.540185414822901</v>
      </c>
      <c r="R12">
        <v>13</v>
      </c>
      <c r="S12">
        <v>4</v>
      </c>
      <c r="T12">
        <v>2.5314252225047799E-2</v>
      </c>
      <c r="U12">
        <v>-8.9208096020970094E-3</v>
      </c>
      <c r="V12">
        <v>42</v>
      </c>
      <c r="W12">
        <v>19</v>
      </c>
      <c r="X12">
        <v>23</v>
      </c>
      <c r="Y12">
        <v>0.452380952380952</v>
      </c>
      <c r="Z12">
        <v>33.651704358881098</v>
      </c>
      <c r="AA12">
        <v>14.534845351822399</v>
      </c>
      <c r="AB12">
        <v>19.116859007058601</v>
      </c>
      <c r="AC12">
        <v>0.43192003581199101</v>
      </c>
      <c r="AD12">
        <v>4.46515464817751</v>
      </c>
      <c r="AE12">
        <v>3.8831409929413501</v>
      </c>
      <c r="AF12">
        <v>5</v>
      </c>
      <c r="AG12">
        <v>2</v>
      </c>
      <c r="AH12">
        <v>3.6106978925838099E-2</v>
      </c>
      <c r="AI12">
        <v>8.9573987565653001E-3</v>
      </c>
      <c r="AJ12">
        <v>160</v>
      </c>
      <c r="AK12">
        <v>29</v>
      </c>
      <c r="AL12">
        <f t="shared" si="0"/>
        <v>0.78378378378378377</v>
      </c>
      <c r="AM12">
        <f t="shared" si="1"/>
        <v>0.18124999999999999</v>
      </c>
    </row>
    <row r="13" spans="1:39" x14ac:dyDescent="0.2">
      <c r="A13" t="s">
        <v>147</v>
      </c>
      <c r="B13" t="s">
        <v>61</v>
      </c>
      <c r="C13" t="s">
        <v>41</v>
      </c>
      <c r="D13" t="s">
        <v>61</v>
      </c>
      <c r="E13">
        <v>12.2617917663058</v>
      </c>
      <c r="F13">
        <v>6.9242430663335197</v>
      </c>
      <c r="G13">
        <v>-5.3375486999722899</v>
      </c>
      <c r="H13">
        <v>21</v>
      </c>
      <c r="I13">
        <v>16</v>
      </c>
      <c r="J13">
        <v>5</v>
      </c>
      <c r="K13">
        <v>0.76190476190476097</v>
      </c>
      <c r="L13">
        <v>15.9812910039314</v>
      </c>
      <c r="M13">
        <v>10.028523968798901</v>
      </c>
      <c r="N13">
        <v>5.95276703513247</v>
      </c>
      <c r="O13">
        <v>0.62751651079577397</v>
      </c>
      <c r="P13">
        <v>5.9714760312010498</v>
      </c>
      <c r="Q13">
        <v>-0.95276703513246996</v>
      </c>
      <c r="R13">
        <v>6</v>
      </c>
      <c r="S13">
        <v>1</v>
      </c>
      <c r="T13">
        <v>2.0728003896149701E-2</v>
      </c>
      <c r="U13">
        <v>6.5093501894534101E-3</v>
      </c>
      <c r="V13">
        <v>15</v>
      </c>
      <c r="W13">
        <v>6</v>
      </c>
      <c r="X13">
        <v>9</v>
      </c>
      <c r="Y13">
        <v>0.4</v>
      </c>
      <c r="Z13">
        <v>15.969658629421801</v>
      </c>
      <c r="AA13">
        <v>9.15360366469708</v>
      </c>
      <c r="AB13">
        <v>6.8160549647247803</v>
      </c>
      <c r="AC13">
        <v>0.57318718434173899</v>
      </c>
      <c r="AD13">
        <v>-3.15360366469708</v>
      </c>
      <c r="AE13">
        <v>2.1839450352752099</v>
      </c>
      <c r="AF13">
        <v>4</v>
      </c>
      <c r="AG13">
        <v>3</v>
      </c>
      <c r="AH13">
        <v>4.5627596084062402E-2</v>
      </c>
      <c r="AI13">
        <v>-2.7704532269196098E-3</v>
      </c>
      <c r="AJ13">
        <v>48</v>
      </c>
      <c r="AK13">
        <v>18</v>
      </c>
      <c r="AL13">
        <f t="shared" si="0"/>
        <v>0.8571428571428571</v>
      </c>
      <c r="AM13">
        <f t="shared" si="1"/>
        <v>0.375</v>
      </c>
    </row>
    <row r="14" spans="1:39" x14ac:dyDescent="0.2">
      <c r="A14" t="s">
        <v>148</v>
      </c>
      <c r="B14" t="s">
        <v>73</v>
      </c>
      <c r="C14" t="s">
        <v>41</v>
      </c>
      <c r="D14" t="s">
        <v>73</v>
      </c>
      <c r="E14">
        <v>3.48365944889815</v>
      </c>
      <c r="F14">
        <v>6.7334732491449003</v>
      </c>
      <c r="G14">
        <v>3.2498138002467498</v>
      </c>
      <c r="H14">
        <v>12</v>
      </c>
      <c r="I14">
        <v>10</v>
      </c>
      <c r="J14">
        <v>2</v>
      </c>
      <c r="K14">
        <v>0.83333333333333304</v>
      </c>
      <c r="L14">
        <v>19.801177645294199</v>
      </c>
      <c r="M14">
        <v>10.5338521980746</v>
      </c>
      <c r="N14">
        <v>9.2673254472195801</v>
      </c>
      <c r="O14">
        <v>0.53198109661816195</v>
      </c>
      <c r="P14">
        <v>-0.53385219807467699</v>
      </c>
      <c r="Q14">
        <v>-7.2673254472195801</v>
      </c>
      <c r="R14">
        <v>3</v>
      </c>
      <c r="S14">
        <v>1</v>
      </c>
      <c r="T14">
        <v>2.3240818832504999E-2</v>
      </c>
      <c r="U14">
        <v>-9.1563117902514791E-3</v>
      </c>
      <c r="V14">
        <v>13</v>
      </c>
      <c r="W14">
        <v>6</v>
      </c>
      <c r="X14">
        <v>7</v>
      </c>
      <c r="Y14">
        <v>0.46153846153846101</v>
      </c>
      <c r="Z14">
        <v>12.520927737377599</v>
      </c>
      <c r="AA14">
        <v>4.1355569685654503</v>
      </c>
      <c r="AB14">
        <v>8.3853707688121997</v>
      </c>
      <c r="AC14">
        <v>0.33029157705462397</v>
      </c>
      <c r="AD14">
        <v>1.8644430314345399</v>
      </c>
      <c r="AE14">
        <v>-1.3853707688121999</v>
      </c>
      <c r="AF14">
        <v>1</v>
      </c>
      <c r="AG14">
        <v>1</v>
      </c>
      <c r="AH14">
        <v>3.4588198169551498E-2</v>
      </c>
      <c r="AI14">
        <v>1.3234040403932101E-3</v>
      </c>
      <c r="AJ14">
        <v>63</v>
      </c>
      <c r="AK14">
        <v>10</v>
      </c>
      <c r="AL14">
        <f t="shared" si="0"/>
        <v>0.83333333333333337</v>
      </c>
      <c r="AM14">
        <f t="shared" si="1"/>
        <v>0.15873015873015872</v>
      </c>
    </row>
    <row r="15" spans="1:39" x14ac:dyDescent="0.2">
      <c r="A15" t="s">
        <v>44</v>
      </c>
      <c r="B15" t="s">
        <v>45</v>
      </c>
      <c r="C15" t="s">
        <v>41</v>
      </c>
      <c r="D15" t="s">
        <v>45</v>
      </c>
      <c r="E15">
        <v>5.6091985162360603</v>
      </c>
      <c r="F15">
        <v>6.4168481390584704</v>
      </c>
      <c r="G15">
        <v>0.80764962282241404</v>
      </c>
      <c r="H15">
        <v>60</v>
      </c>
      <c r="I15">
        <v>42</v>
      </c>
      <c r="J15">
        <v>18</v>
      </c>
      <c r="K15">
        <v>0.7</v>
      </c>
      <c r="L15">
        <v>87.357826825239002</v>
      </c>
      <c r="M15">
        <v>52.4704893430902</v>
      </c>
      <c r="N15">
        <v>34.887337482148702</v>
      </c>
      <c r="O15">
        <v>0.60063867486148004</v>
      </c>
      <c r="P15">
        <v>-10.4704893430902</v>
      </c>
      <c r="Q15">
        <v>-16.887337482148698</v>
      </c>
      <c r="R15">
        <v>13</v>
      </c>
      <c r="S15">
        <v>4</v>
      </c>
      <c r="T15">
        <v>2.7723842216832401E-2</v>
      </c>
      <c r="U15">
        <v>-8.6822681133732291E-3</v>
      </c>
      <c r="V15">
        <v>51</v>
      </c>
      <c r="W15">
        <v>23</v>
      </c>
      <c r="X15">
        <v>28</v>
      </c>
      <c r="Y15">
        <v>0.45098039215686198</v>
      </c>
      <c r="Z15">
        <v>45.035553051673801</v>
      </c>
      <c r="AA15">
        <v>19.613951714425699</v>
      </c>
      <c r="AB15">
        <v>25.421601337248099</v>
      </c>
      <c r="AC15">
        <v>0.43552150213233998</v>
      </c>
      <c r="AD15">
        <v>3.3860482855742799</v>
      </c>
      <c r="AE15">
        <v>2.57839866275186</v>
      </c>
      <c r="AF15">
        <v>5</v>
      </c>
      <c r="AG15">
        <v>6</v>
      </c>
      <c r="AH15">
        <v>3.6202213064046501E-2</v>
      </c>
      <c r="AI15">
        <v>4.7945715018698903E-3</v>
      </c>
      <c r="AJ15">
        <v>233</v>
      </c>
      <c r="AK15">
        <v>49</v>
      </c>
      <c r="AL15">
        <f t="shared" si="0"/>
        <v>0.81666666666666665</v>
      </c>
      <c r="AM15">
        <f t="shared" si="1"/>
        <v>0.21030042918454936</v>
      </c>
    </row>
    <row r="16" spans="1:39" x14ac:dyDescent="0.2">
      <c r="A16" t="s">
        <v>87</v>
      </c>
      <c r="B16" t="s">
        <v>45</v>
      </c>
      <c r="C16" t="s">
        <v>41</v>
      </c>
      <c r="D16" t="s">
        <v>45</v>
      </c>
      <c r="E16">
        <v>8.06170116176507</v>
      </c>
      <c r="F16">
        <v>6.2089937139901599</v>
      </c>
      <c r="G16">
        <v>-1.8527074477749099</v>
      </c>
      <c r="H16">
        <v>11</v>
      </c>
      <c r="I16">
        <v>9</v>
      </c>
      <c r="J16">
        <v>2</v>
      </c>
      <c r="K16">
        <v>0.81818181818181801</v>
      </c>
      <c r="L16">
        <v>10.3060780118289</v>
      </c>
      <c r="M16">
        <v>5.5485421489194096</v>
      </c>
      <c r="N16">
        <v>4.7575358629095703</v>
      </c>
      <c r="O16">
        <v>0.538375717955072</v>
      </c>
      <c r="P16">
        <v>3.4514578510805798</v>
      </c>
      <c r="Q16">
        <v>-2.7575358629095699</v>
      </c>
      <c r="R16">
        <v>2</v>
      </c>
      <c r="S16">
        <v>1</v>
      </c>
      <c r="T16">
        <v>1.9895903497739301E-2</v>
      </c>
      <c r="U16">
        <v>1.3396177377818801E-3</v>
      </c>
      <c r="V16">
        <v>7</v>
      </c>
      <c r="W16">
        <v>2</v>
      </c>
      <c r="X16">
        <v>5</v>
      </c>
      <c r="Y16">
        <v>0.28571428571428498</v>
      </c>
      <c r="Z16">
        <v>9.4864447049978295</v>
      </c>
      <c r="AA16">
        <v>4.1695760763863703</v>
      </c>
      <c r="AB16">
        <v>5.3168686286114504</v>
      </c>
      <c r="AC16">
        <v>0.43952989829684802</v>
      </c>
      <c r="AD16">
        <v>-2.1695760763863698</v>
      </c>
      <c r="AE16">
        <v>-0.31686862861145698</v>
      </c>
      <c r="AF16">
        <v>0</v>
      </c>
      <c r="AG16">
        <v>0</v>
      </c>
      <c r="AH16">
        <v>4.00271928480921E-2</v>
      </c>
      <c r="AI16">
        <v>-1.0491327869189101E-2</v>
      </c>
      <c r="AJ16">
        <v>29</v>
      </c>
      <c r="AK16">
        <v>10</v>
      </c>
      <c r="AL16">
        <f t="shared" si="0"/>
        <v>0.90909090909090906</v>
      </c>
      <c r="AM16">
        <f t="shared" si="1"/>
        <v>0.34482758620689657</v>
      </c>
    </row>
    <row r="17" spans="1:39" x14ac:dyDescent="0.2">
      <c r="A17" t="s">
        <v>113</v>
      </c>
      <c r="B17" t="s">
        <v>90</v>
      </c>
      <c r="C17" t="s">
        <v>41</v>
      </c>
      <c r="D17" t="s">
        <v>90</v>
      </c>
      <c r="E17">
        <v>4.9681479878470798</v>
      </c>
      <c r="F17">
        <v>6.1906239518581998</v>
      </c>
      <c r="G17">
        <v>1.22247596401111</v>
      </c>
      <c r="H17">
        <v>31</v>
      </c>
      <c r="I17">
        <v>20</v>
      </c>
      <c r="J17">
        <v>11</v>
      </c>
      <c r="K17">
        <v>0.64516129032257996</v>
      </c>
      <c r="L17">
        <v>36.018036851100199</v>
      </c>
      <c r="M17">
        <v>19.413706449620999</v>
      </c>
      <c r="N17">
        <v>16.604330401479199</v>
      </c>
      <c r="O17">
        <v>0.53899957207212301</v>
      </c>
      <c r="P17">
        <v>0.58629355037895603</v>
      </c>
      <c r="Q17">
        <v>-5.6043304014792401</v>
      </c>
      <c r="R17">
        <v>4</v>
      </c>
      <c r="S17">
        <v>1</v>
      </c>
      <c r="T17">
        <v>2.3358000551945701E-2</v>
      </c>
      <c r="U17">
        <v>-3.2542392030481702E-3</v>
      </c>
      <c r="V17">
        <v>35</v>
      </c>
      <c r="W17">
        <v>17</v>
      </c>
      <c r="X17">
        <v>18</v>
      </c>
      <c r="Y17">
        <v>0.48571428571428499</v>
      </c>
      <c r="Z17">
        <v>29.055595212874401</v>
      </c>
      <c r="AA17">
        <v>13.416559624431599</v>
      </c>
      <c r="AB17">
        <v>15.639035588442701</v>
      </c>
      <c r="AC17">
        <v>0.46175476792458903</v>
      </c>
      <c r="AD17">
        <v>3.5834403755683399</v>
      </c>
      <c r="AE17">
        <v>2.3609644115572301</v>
      </c>
      <c r="AF17">
        <v>5</v>
      </c>
      <c r="AG17">
        <v>3</v>
      </c>
      <c r="AH17">
        <v>4.3496400019272997E-2</v>
      </c>
      <c r="AI17">
        <v>8.8988095615652602E-3</v>
      </c>
      <c r="AJ17">
        <v>89</v>
      </c>
      <c r="AK17">
        <v>22</v>
      </c>
      <c r="AL17">
        <f t="shared" si="0"/>
        <v>0.70967741935483875</v>
      </c>
      <c r="AM17">
        <f t="shared" si="1"/>
        <v>0.24719101123595505</v>
      </c>
    </row>
    <row r="18" spans="1:39" x14ac:dyDescent="0.2">
      <c r="A18" t="s">
        <v>77</v>
      </c>
      <c r="B18" t="s">
        <v>78</v>
      </c>
      <c r="C18" t="s">
        <v>41</v>
      </c>
      <c r="D18" t="s">
        <v>78</v>
      </c>
      <c r="E18">
        <v>16.342930072569199</v>
      </c>
      <c r="F18">
        <v>5.8623635802427003</v>
      </c>
      <c r="G18">
        <v>-10.480566492326499</v>
      </c>
      <c r="H18">
        <v>30</v>
      </c>
      <c r="I18">
        <v>24</v>
      </c>
      <c r="J18">
        <v>6</v>
      </c>
      <c r="K18">
        <v>0.8</v>
      </c>
      <c r="L18">
        <v>55.849393168147003</v>
      </c>
      <c r="M18">
        <v>33.993514793952102</v>
      </c>
      <c r="N18">
        <v>21.855878374194798</v>
      </c>
      <c r="O18">
        <v>0.60866399553540496</v>
      </c>
      <c r="P18">
        <v>-9.9935147939521691</v>
      </c>
      <c r="Q18">
        <v>-15.8558783741948</v>
      </c>
      <c r="R18">
        <v>7</v>
      </c>
      <c r="S18">
        <v>5</v>
      </c>
      <c r="T18">
        <v>2.2804978835503E-2</v>
      </c>
      <c r="U18">
        <v>-1.0555080917985699E-2</v>
      </c>
      <c r="V18">
        <v>43</v>
      </c>
      <c r="W18">
        <v>14</v>
      </c>
      <c r="X18">
        <v>29</v>
      </c>
      <c r="Y18">
        <v>0.32558139534883701</v>
      </c>
      <c r="Z18">
        <v>42.858578738249903</v>
      </c>
      <c r="AA18">
        <v>19.1695726152881</v>
      </c>
      <c r="AB18">
        <v>23.689006122961601</v>
      </c>
      <c r="AC18">
        <v>0.44727504223512499</v>
      </c>
      <c r="AD18">
        <v>-5.1695726152881898</v>
      </c>
      <c r="AE18">
        <v>5.3109938770383103</v>
      </c>
      <c r="AF18">
        <v>9</v>
      </c>
      <c r="AG18">
        <v>2</v>
      </c>
      <c r="AH18">
        <v>4.0017347094537699E-2</v>
      </c>
      <c r="AI18">
        <v>1.3204599603183599E-4</v>
      </c>
      <c r="AJ18">
        <v>160</v>
      </c>
      <c r="AK18">
        <v>26</v>
      </c>
      <c r="AL18">
        <f t="shared" si="0"/>
        <v>0.8666666666666667</v>
      </c>
      <c r="AM18">
        <f t="shared" si="1"/>
        <v>0.16250000000000001</v>
      </c>
    </row>
    <row r="19" spans="1:39" x14ac:dyDescent="0.2">
      <c r="A19" t="s">
        <v>70</v>
      </c>
      <c r="B19" t="s">
        <v>71</v>
      </c>
      <c r="C19" t="s">
        <v>41</v>
      </c>
      <c r="D19" t="s">
        <v>71</v>
      </c>
      <c r="E19">
        <v>-4.1428320024394099</v>
      </c>
      <c r="F19">
        <v>5.6953613508765502</v>
      </c>
      <c r="G19">
        <v>9.83819335331596</v>
      </c>
      <c r="H19">
        <v>21</v>
      </c>
      <c r="I19">
        <v>12</v>
      </c>
      <c r="J19">
        <v>9</v>
      </c>
      <c r="K19">
        <v>0.57142857142857095</v>
      </c>
      <c r="L19">
        <v>40.821119725242099</v>
      </c>
      <c r="M19">
        <v>19.062879187182698</v>
      </c>
      <c r="N19">
        <v>21.758240538059301</v>
      </c>
      <c r="O19">
        <v>0.466985700428865</v>
      </c>
      <c r="P19">
        <v>-7.0628791871827703</v>
      </c>
      <c r="Q19">
        <v>-12.758240538059299</v>
      </c>
      <c r="R19">
        <v>3</v>
      </c>
      <c r="S19">
        <v>1</v>
      </c>
      <c r="T19">
        <v>1.92461667728628E-2</v>
      </c>
      <c r="U19">
        <v>-9.3451766738529493E-3</v>
      </c>
      <c r="V19">
        <v>39</v>
      </c>
      <c r="W19">
        <v>28</v>
      </c>
      <c r="X19">
        <v>11</v>
      </c>
      <c r="Y19">
        <v>0.71794871794871795</v>
      </c>
      <c r="Z19">
        <v>47.390796856575797</v>
      </c>
      <c r="AA19">
        <v>27.276301751629902</v>
      </c>
      <c r="AB19">
        <v>20.114495104945899</v>
      </c>
      <c r="AC19">
        <v>0.57556115450388601</v>
      </c>
      <c r="AD19">
        <v>0.72369824837003605</v>
      </c>
      <c r="AE19">
        <v>-9.1144951049459308</v>
      </c>
      <c r="AF19">
        <v>11</v>
      </c>
      <c r="AG19">
        <v>2</v>
      </c>
      <c r="AH19">
        <v>5.1793220608279601E-2</v>
      </c>
      <c r="AI19">
        <v>-9.17026978860753E-3</v>
      </c>
      <c r="AJ19">
        <v>112</v>
      </c>
      <c r="AK19">
        <v>16</v>
      </c>
      <c r="AL19">
        <f t="shared" si="0"/>
        <v>0.76190476190476186</v>
      </c>
      <c r="AM19">
        <f t="shared" si="1"/>
        <v>0.14285714285714285</v>
      </c>
    </row>
    <row r="20" spans="1:39" x14ac:dyDescent="0.2">
      <c r="A20" t="s">
        <v>67</v>
      </c>
      <c r="B20" t="s">
        <v>63</v>
      </c>
      <c r="C20" t="s">
        <v>41</v>
      </c>
      <c r="D20" t="s">
        <v>63</v>
      </c>
      <c r="E20">
        <v>14.4634595962613</v>
      </c>
      <c r="F20">
        <v>5.0755691936599199</v>
      </c>
      <c r="G20">
        <v>-9.3878904026013892</v>
      </c>
      <c r="H20">
        <v>31</v>
      </c>
      <c r="I20">
        <v>19</v>
      </c>
      <c r="J20">
        <v>12</v>
      </c>
      <c r="K20">
        <v>0.61290322580645096</v>
      </c>
      <c r="L20">
        <v>33.024087742796297</v>
      </c>
      <c r="M20">
        <v>17.474259274568201</v>
      </c>
      <c r="N20">
        <v>15.5498284682281</v>
      </c>
      <c r="O20">
        <v>0.52913677466775499</v>
      </c>
      <c r="P20">
        <v>1.5257407254317701</v>
      </c>
      <c r="Q20">
        <v>-3.5498284682281498</v>
      </c>
      <c r="R20">
        <v>8</v>
      </c>
      <c r="S20">
        <v>2</v>
      </c>
      <c r="T20">
        <v>2.1972114266664199E-2</v>
      </c>
      <c r="U20">
        <v>-1.34669843166759E-3</v>
      </c>
      <c r="V20">
        <v>24</v>
      </c>
      <c r="W20">
        <v>4</v>
      </c>
      <c r="X20">
        <v>20</v>
      </c>
      <c r="Y20">
        <v>0.16666666666666599</v>
      </c>
      <c r="Z20">
        <v>28.009997908951501</v>
      </c>
      <c r="AA20">
        <v>10.698944155776401</v>
      </c>
      <c r="AB20">
        <v>17.311053753174999</v>
      </c>
      <c r="AC20">
        <v>0.38196875953201098</v>
      </c>
      <c r="AD20">
        <v>-6.6989441557764504</v>
      </c>
      <c r="AE20">
        <v>2.6889462468249299</v>
      </c>
      <c r="AF20">
        <v>1</v>
      </c>
      <c r="AG20">
        <v>0</v>
      </c>
      <c r="AH20">
        <v>4.1805967028285797E-2</v>
      </c>
      <c r="AI20">
        <v>-5.9850715058977697E-3</v>
      </c>
      <c r="AJ20">
        <v>99</v>
      </c>
      <c r="AK20">
        <v>23</v>
      </c>
      <c r="AL20">
        <f t="shared" si="0"/>
        <v>0.74193548387096775</v>
      </c>
      <c r="AM20">
        <f t="shared" si="1"/>
        <v>0.23232323232323232</v>
      </c>
    </row>
    <row r="21" spans="1:39" x14ac:dyDescent="0.2">
      <c r="A21" t="s">
        <v>117</v>
      </c>
      <c r="B21" t="s">
        <v>69</v>
      </c>
      <c r="C21" t="s">
        <v>41</v>
      </c>
      <c r="D21" t="s">
        <v>69</v>
      </c>
      <c r="E21">
        <v>0.36297190684394698</v>
      </c>
      <c r="F21">
        <v>5.0014074503263304</v>
      </c>
      <c r="G21">
        <v>4.6384355434823803</v>
      </c>
      <c r="H21">
        <v>27</v>
      </c>
      <c r="I21">
        <v>15</v>
      </c>
      <c r="J21">
        <v>12</v>
      </c>
      <c r="K21">
        <v>0.55555555555555503</v>
      </c>
      <c r="L21">
        <v>22.247935905043601</v>
      </c>
      <c r="M21">
        <v>10.1232642273586</v>
      </c>
      <c r="N21">
        <v>12.1246716776849</v>
      </c>
      <c r="O21">
        <v>0.45502037899451497</v>
      </c>
      <c r="P21">
        <v>4.8767357726413296</v>
      </c>
      <c r="Q21">
        <v>-0.124671677684996</v>
      </c>
      <c r="R21">
        <v>4</v>
      </c>
      <c r="S21">
        <v>3</v>
      </c>
      <c r="T21">
        <v>1.68672751365001E-2</v>
      </c>
      <c r="U21">
        <v>3.60277793400783E-3</v>
      </c>
      <c r="V21">
        <v>24</v>
      </c>
      <c r="W21">
        <v>15</v>
      </c>
      <c r="X21">
        <v>9</v>
      </c>
      <c r="Y21">
        <v>0.625</v>
      </c>
      <c r="Z21">
        <v>32.946341342809298</v>
      </c>
      <c r="AA21">
        <v>17.153952899663398</v>
      </c>
      <c r="AB21">
        <v>15.7923884431458</v>
      </c>
      <c r="AC21">
        <v>0.520663363533304</v>
      </c>
      <c r="AD21">
        <v>-2.1539528996634498</v>
      </c>
      <c r="AE21">
        <v>-6.7923884431458399</v>
      </c>
      <c r="AF21">
        <v>2</v>
      </c>
      <c r="AG21">
        <v>2</v>
      </c>
      <c r="AH21">
        <v>5.2462326978995701E-2</v>
      </c>
      <c r="AI21">
        <v>-1.42457664694415E-2</v>
      </c>
      <c r="AJ21">
        <v>63</v>
      </c>
      <c r="AK21">
        <v>21</v>
      </c>
      <c r="AL21">
        <f t="shared" si="0"/>
        <v>0.77777777777777779</v>
      </c>
      <c r="AM21">
        <f t="shared" si="1"/>
        <v>0.33333333333333331</v>
      </c>
    </row>
    <row r="22" spans="1:39" x14ac:dyDescent="0.2">
      <c r="A22" t="s">
        <v>137</v>
      </c>
      <c r="B22" t="s">
        <v>49</v>
      </c>
      <c r="C22" t="s">
        <v>41</v>
      </c>
      <c r="D22" t="s">
        <v>49</v>
      </c>
      <c r="E22">
        <v>3.53136412876274</v>
      </c>
      <c r="F22">
        <v>4.8848913579815401</v>
      </c>
      <c r="G22">
        <v>1.3535272292188001</v>
      </c>
      <c r="H22">
        <v>45</v>
      </c>
      <c r="I22">
        <v>26</v>
      </c>
      <c r="J22">
        <v>19</v>
      </c>
      <c r="K22">
        <v>0.57777777777777695</v>
      </c>
      <c r="L22">
        <v>31.164949303036099</v>
      </c>
      <c r="M22">
        <v>16.640028972527301</v>
      </c>
      <c r="N22">
        <v>14.524920330508801</v>
      </c>
      <c r="O22">
        <v>0.53393409405951398</v>
      </c>
      <c r="P22">
        <v>9.3599710274726799</v>
      </c>
      <c r="Q22">
        <v>4.4750796694911301</v>
      </c>
      <c r="R22">
        <v>10</v>
      </c>
      <c r="S22">
        <v>2</v>
      </c>
      <c r="T22">
        <v>1.9862937732973901E-2</v>
      </c>
      <c r="U22">
        <v>8.8177506035460908E-3</v>
      </c>
      <c r="V22">
        <v>32</v>
      </c>
      <c r="W22">
        <v>14</v>
      </c>
      <c r="X22">
        <v>18</v>
      </c>
      <c r="Y22">
        <v>0.4375</v>
      </c>
      <c r="Z22">
        <v>29.5455497274314</v>
      </c>
      <c r="AA22">
        <v>12.096011249106301</v>
      </c>
      <c r="AB22">
        <v>17.449538478325099</v>
      </c>
      <c r="AC22">
        <v>0.40940213875512399</v>
      </c>
      <c r="AD22">
        <v>1.9039887508936899</v>
      </c>
      <c r="AE22">
        <v>0.55046152167488205</v>
      </c>
      <c r="AF22">
        <v>5</v>
      </c>
      <c r="AG22">
        <v>3</v>
      </c>
      <c r="AH22">
        <v>4.1380321747102801E-2</v>
      </c>
      <c r="AI22">
        <v>3.4376054237655099E-3</v>
      </c>
      <c r="AJ22">
        <v>87</v>
      </c>
      <c r="AK22">
        <v>31</v>
      </c>
      <c r="AL22">
        <f t="shared" si="0"/>
        <v>0.68888888888888888</v>
      </c>
      <c r="AM22">
        <f t="shared" si="1"/>
        <v>0.35632183908045978</v>
      </c>
    </row>
    <row r="23" spans="1:39" x14ac:dyDescent="0.2">
      <c r="A23" t="s">
        <v>65</v>
      </c>
      <c r="B23" t="s">
        <v>66</v>
      </c>
      <c r="C23" t="s">
        <v>41</v>
      </c>
      <c r="D23" t="s">
        <v>66</v>
      </c>
      <c r="E23">
        <v>9.5576389630838499</v>
      </c>
      <c r="F23">
        <v>4.5117083249389998</v>
      </c>
      <c r="G23">
        <v>-5.0459306381448403</v>
      </c>
      <c r="H23">
        <v>60</v>
      </c>
      <c r="I23">
        <v>36</v>
      </c>
      <c r="J23">
        <v>24</v>
      </c>
      <c r="K23">
        <v>0.6</v>
      </c>
      <c r="L23">
        <v>64.719632516033997</v>
      </c>
      <c r="M23">
        <v>36.103962095547502</v>
      </c>
      <c r="N23">
        <v>28.615670420486499</v>
      </c>
      <c r="O23">
        <v>0.55785177838583799</v>
      </c>
      <c r="P23">
        <v>-0.103962095547532</v>
      </c>
      <c r="Q23">
        <v>-4.6156704204865298</v>
      </c>
      <c r="R23">
        <v>5</v>
      </c>
      <c r="S23">
        <v>5</v>
      </c>
      <c r="T23">
        <v>2.6234143703297099E-2</v>
      </c>
      <c r="U23">
        <v>-1.9131060056887101E-3</v>
      </c>
      <c r="V23">
        <v>38</v>
      </c>
      <c r="W23">
        <v>13</v>
      </c>
      <c r="X23">
        <v>25</v>
      </c>
      <c r="Y23">
        <v>0.34210526315789402</v>
      </c>
      <c r="Z23">
        <v>36.1204970316439</v>
      </c>
      <c r="AA23">
        <v>14.5832138348943</v>
      </c>
      <c r="AB23">
        <v>21.537283196749499</v>
      </c>
      <c r="AC23">
        <v>0.40373790599056603</v>
      </c>
      <c r="AD23">
        <v>-1.5832138348943801</v>
      </c>
      <c r="AE23">
        <v>3.4627168032504598</v>
      </c>
      <c r="AF23">
        <v>4</v>
      </c>
      <c r="AG23">
        <v>2</v>
      </c>
      <c r="AH23">
        <v>3.4966599256189598E-2</v>
      </c>
      <c r="AI23">
        <v>1.8194607631714199E-3</v>
      </c>
      <c r="AJ23">
        <v>192</v>
      </c>
      <c r="AK23">
        <v>43</v>
      </c>
      <c r="AL23">
        <f t="shared" si="0"/>
        <v>0.71666666666666667</v>
      </c>
      <c r="AM23">
        <f t="shared" si="1"/>
        <v>0.22395833333333334</v>
      </c>
    </row>
    <row r="24" spans="1:39" x14ac:dyDescent="0.2">
      <c r="A24" t="s">
        <v>111</v>
      </c>
      <c r="B24" t="s">
        <v>83</v>
      </c>
      <c r="C24" t="s">
        <v>41</v>
      </c>
      <c r="D24" t="s">
        <v>83</v>
      </c>
      <c r="E24">
        <v>-6.2920165576368499</v>
      </c>
      <c r="F24">
        <v>3.6284588648518299</v>
      </c>
      <c r="G24">
        <v>9.9204754224886909</v>
      </c>
      <c r="H24">
        <v>30</v>
      </c>
      <c r="I24">
        <v>20</v>
      </c>
      <c r="J24">
        <v>10</v>
      </c>
      <c r="K24">
        <v>0.66666666666666596</v>
      </c>
      <c r="L24">
        <v>39.990878355105203</v>
      </c>
      <c r="M24">
        <v>23.181209745126601</v>
      </c>
      <c r="N24">
        <v>16.809668609978502</v>
      </c>
      <c r="O24">
        <v>0.57966243049941302</v>
      </c>
      <c r="P24">
        <v>-3.1812097451266901</v>
      </c>
      <c r="Q24">
        <v>-6.8096686099785204</v>
      </c>
      <c r="R24">
        <v>2</v>
      </c>
      <c r="S24">
        <v>1</v>
      </c>
      <c r="T24">
        <v>1.9876182085042299E-2</v>
      </c>
      <c r="U24">
        <v>-4.9656453057182999E-3</v>
      </c>
      <c r="V24">
        <v>39</v>
      </c>
      <c r="W24">
        <v>25</v>
      </c>
      <c r="X24">
        <v>14</v>
      </c>
      <c r="Y24">
        <v>0.64102564102564097</v>
      </c>
      <c r="Z24">
        <v>42.0268824721092</v>
      </c>
      <c r="AA24">
        <v>21.553203524810201</v>
      </c>
      <c r="AB24">
        <v>20.4736789472989</v>
      </c>
      <c r="AC24">
        <v>0.51284326262158197</v>
      </c>
      <c r="AD24">
        <v>3.44679647518972</v>
      </c>
      <c r="AE24">
        <v>-6.4736789472989598</v>
      </c>
      <c r="AF24">
        <v>10</v>
      </c>
      <c r="AG24">
        <v>5</v>
      </c>
      <c r="AH24">
        <v>4.6800537274063699E-2</v>
      </c>
      <c r="AI24">
        <v>-3.3706931760681801E-3</v>
      </c>
      <c r="AJ24">
        <v>108</v>
      </c>
      <c r="AK24">
        <v>23</v>
      </c>
      <c r="AL24">
        <f t="shared" si="0"/>
        <v>0.76666666666666672</v>
      </c>
      <c r="AM24">
        <f t="shared" si="1"/>
        <v>0.21296296296296297</v>
      </c>
    </row>
    <row r="25" spans="1:39" x14ac:dyDescent="0.2">
      <c r="A25" t="s">
        <v>68</v>
      </c>
      <c r="B25" t="s">
        <v>69</v>
      </c>
      <c r="C25" t="s">
        <v>41</v>
      </c>
      <c r="D25" t="s">
        <v>69</v>
      </c>
      <c r="E25">
        <v>-4.0894492474905704</v>
      </c>
      <c r="F25">
        <v>3.5907902522194801</v>
      </c>
      <c r="G25">
        <v>7.6802394997100496</v>
      </c>
      <c r="H25">
        <v>57</v>
      </c>
      <c r="I25">
        <v>33</v>
      </c>
      <c r="J25">
        <v>24</v>
      </c>
      <c r="K25">
        <v>0.57894736842105199</v>
      </c>
      <c r="L25">
        <v>47.651868477344003</v>
      </c>
      <c r="M25">
        <v>26.530539112562199</v>
      </c>
      <c r="N25">
        <v>21.121329364781701</v>
      </c>
      <c r="O25">
        <v>0.55675758286742005</v>
      </c>
      <c r="P25">
        <v>6.4694608874377</v>
      </c>
      <c r="Q25">
        <v>2.8786706352182199</v>
      </c>
      <c r="R25">
        <v>5</v>
      </c>
      <c r="S25">
        <v>0</v>
      </c>
      <c r="T25">
        <v>2.1455141142433101E-2</v>
      </c>
      <c r="U25">
        <v>4.2089741209616902E-3</v>
      </c>
      <c r="V25">
        <v>45</v>
      </c>
      <c r="W25">
        <v>27</v>
      </c>
      <c r="X25">
        <v>18</v>
      </c>
      <c r="Y25">
        <v>0.6</v>
      </c>
      <c r="Z25">
        <v>46.387482152602402</v>
      </c>
      <c r="AA25">
        <v>23.853621326446099</v>
      </c>
      <c r="AB25">
        <v>22.5338608261562</v>
      </c>
      <c r="AC25">
        <v>0.51422539485920205</v>
      </c>
      <c r="AD25">
        <v>3.1463786735538002</v>
      </c>
      <c r="AE25">
        <v>-4.5338608261562499</v>
      </c>
      <c r="AF25">
        <v>7</v>
      </c>
      <c r="AG25">
        <v>6</v>
      </c>
      <c r="AH25">
        <v>4.3969177395831699E-2</v>
      </c>
      <c r="AI25">
        <v>-1.3151489598127401E-3</v>
      </c>
      <c r="AJ25">
        <v>136</v>
      </c>
      <c r="AK25">
        <v>39</v>
      </c>
      <c r="AL25">
        <f t="shared" si="0"/>
        <v>0.68421052631578949</v>
      </c>
      <c r="AM25">
        <f t="shared" si="1"/>
        <v>0.28676470588235292</v>
      </c>
    </row>
    <row r="26" spans="1:39" x14ac:dyDescent="0.2">
      <c r="A26" t="s">
        <v>79</v>
      </c>
      <c r="B26" t="s">
        <v>66</v>
      </c>
      <c r="C26" t="s">
        <v>41</v>
      </c>
      <c r="D26" t="s">
        <v>66</v>
      </c>
      <c r="E26">
        <v>7.7321950710631002</v>
      </c>
      <c r="F26">
        <v>3.0658554326144598</v>
      </c>
      <c r="G26">
        <v>-4.6663396384486298</v>
      </c>
      <c r="H26">
        <v>10</v>
      </c>
      <c r="I26">
        <v>8</v>
      </c>
      <c r="J26">
        <v>2</v>
      </c>
      <c r="K26">
        <v>0.8</v>
      </c>
      <c r="L26">
        <v>13.4300917901313</v>
      </c>
      <c r="M26">
        <v>8.1821181787584099</v>
      </c>
      <c r="N26">
        <v>5.2479736113728803</v>
      </c>
      <c r="O26">
        <v>0.60923769596055899</v>
      </c>
      <c r="P26">
        <v>-0.18211817875841599</v>
      </c>
      <c r="Q26">
        <v>-3.2479736113728799</v>
      </c>
      <c r="R26">
        <v>1</v>
      </c>
      <c r="S26">
        <v>0</v>
      </c>
      <c r="T26">
        <v>2.2052695878704901E-2</v>
      </c>
      <c r="U26">
        <v>-5.6323346307574698E-3</v>
      </c>
      <c r="V26">
        <v>8</v>
      </c>
      <c r="W26">
        <v>1</v>
      </c>
      <c r="X26">
        <v>7</v>
      </c>
      <c r="Y26">
        <v>0.125</v>
      </c>
      <c r="Z26">
        <v>7.3041624066111304</v>
      </c>
      <c r="AA26">
        <v>2.9852510225298801</v>
      </c>
      <c r="AB26">
        <v>4.3189113840812396</v>
      </c>
      <c r="AC26">
        <v>0.40870545537539998</v>
      </c>
      <c r="AD26">
        <v>-1.9852510225298801</v>
      </c>
      <c r="AE26">
        <v>2.6810886159187501</v>
      </c>
      <c r="AF26">
        <v>0</v>
      </c>
      <c r="AG26">
        <v>1</v>
      </c>
      <c r="AH26">
        <v>3.05613489816365E-2</v>
      </c>
      <c r="AI26">
        <v>2.9114543656437899E-3</v>
      </c>
      <c r="AJ26">
        <v>41</v>
      </c>
      <c r="AK26">
        <v>9</v>
      </c>
      <c r="AL26">
        <f t="shared" si="0"/>
        <v>0.9</v>
      </c>
      <c r="AM26">
        <f t="shared" si="1"/>
        <v>0.21951219512195122</v>
      </c>
    </row>
    <row r="27" spans="1:39" x14ac:dyDescent="0.2">
      <c r="A27" t="s">
        <v>97</v>
      </c>
      <c r="B27" t="s">
        <v>61</v>
      </c>
      <c r="C27" t="s">
        <v>41</v>
      </c>
      <c r="D27" t="s">
        <v>61</v>
      </c>
      <c r="E27">
        <v>2.48595254010531</v>
      </c>
      <c r="F27">
        <v>3.06259394827776</v>
      </c>
      <c r="G27">
        <v>0.57664140817244802</v>
      </c>
      <c r="H27">
        <v>37</v>
      </c>
      <c r="I27">
        <v>21</v>
      </c>
      <c r="J27">
        <v>16</v>
      </c>
      <c r="K27">
        <v>0.56756756756756699</v>
      </c>
      <c r="L27">
        <v>24.282958247370299</v>
      </c>
      <c r="M27">
        <v>13.110182149546199</v>
      </c>
      <c r="N27">
        <v>11.172776097824</v>
      </c>
      <c r="O27">
        <v>0.53989229878802003</v>
      </c>
      <c r="P27">
        <v>7.8898178504537304</v>
      </c>
      <c r="Q27">
        <v>4.8272239021759704</v>
      </c>
      <c r="R27">
        <v>6</v>
      </c>
      <c r="S27">
        <v>1</v>
      </c>
      <c r="T27">
        <v>2.0843740984867201E-2</v>
      </c>
      <c r="U27">
        <v>1.09159156674933E-2</v>
      </c>
      <c r="V27">
        <v>22</v>
      </c>
      <c r="W27">
        <v>12</v>
      </c>
      <c r="X27">
        <v>10</v>
      </c>
      <c r="Y27">
        <v>0.54545454545454497</v>
      </c>
      <c r="Z27">
        <v>24.020889783794701</v>
      </c>
      <c r="AA27">
        <v>12.722124187811101</v>
      </c>
      <c r="AB27">
        <v>11.2987655959835</v>
      </c>
      <c r="AC27">
        <v>0.529627515979607</v>
      </c>
      <c r="AD27">
        <v>-0.72212418781112897</v>
      </c>
      <c r="AE27">
        <v>-1.29876559598357</v>
      </c>
      <c r="AF27">
        <v>4</v>
      </c>
      <c r="AG27">
        <v>2</v>
      </c>
      <c r="AH27">
        <v>4.8922382451720398E-2</v>
      </c>
      <c r="AI27">
        <v>-4.11586514011145E-3</v>
      </c>
      <c r="AJ27">
        <v>84</v>
      </c>
      <c r="AK27">
        <v>25</v>
      </c>
      <c r="AL27">
        <f t="shared" si="0"/>
        <v>0.67567567567567566</v>
      </c>
      <c r="AM27">
        <f t="shared" si="1"/>
        <v>0.29761904761904762</v>
      </c>
    </row>
    <row r="28" spans="1:39" x14ac:dyDescent="0.2">
      <c r="A28" t="s">
        <v>149</v>
      </c>
      <c r="B28" t="s">
        <v>81</v>
      </c>
      <c r="C28" t="s">
        <v>41</v>
      </c>
      <c r="D28" t="s">
        <v>81</v>
      </c>
      <c r="E28">
        <v>2.1227322122620098</v>
      </c>
      <c r="F28">
        <v>2.9703474875347702</v>
      </c>
      <c r="G28">
        <v>0.84761527527275804</v>
      </c>
      <c r="H28">
        <v>9</v>
      </c>
      <c r="I28">
        <v>7</v>
      </c>
      <c r="J28">
        <v>2</v>
      </c>
      <c r="K28">
        <v>0.77777777777777701</v>
      </c>
      <c r="L28">
        <v>9.9726044296283707</v>
      </c>
      <c r="M28">
        <v>6.0011284710468003</v>
      </c>
      <c r="N28">
        <v>3.97147595858157</v>
      </c>
      <c r="O28">
        <v>0.60176140680137502</v>
      </c>
      <c r="P28">
        <v>0.99887152895319997</v>
      </c>
      <c r="Q28">
        <v>-1.97147595858157</v>
      </c>
      <c r="R28">
        <v>1</v>
      </c>
      <c r="S28">
        <v>1</v>
      </c>
      <c r="T28">
        <v>2.15857238736544E-2</v>
      </c>
      <c r="U28">
        <v>-2.1052043931350001E-3</v>
      </c>
      <c r="V28">
        <v>5</v>
      </c>
      <c r="W28">
        <v>2</v>
      </c>
      <c r="X28">
        <v>3</v>
      </c>
      <c r="Y28">
        <v>0.4</v>
      </c>
      <c r="Z28">
        <v>8.2331834188437192</v>
      </c>
      <c r="AA28">
        <v>3.1927840717854798</v>
      </c>
      <c r="AB28">
        <v>5.0403993470582398</v>
      </c>
      <c r="AC28">
        <v>0.38779460013947697</v>
      </c>
      <c r="AD28">
        <v>-1.1927840717854801</v>
      </c>
      <c r="AE28">
        <v>-2.0403993470582402</v>
      </c>
      <c r="AF28">
        <v>1</v>
      </c>
      <c r="AG28">
        <v>0</v>
      </c>
      <c r="AH28">
        <v>3.8835770843602402E-2</v>
      </c>
      <c r="AI28">
        <v>-1.5250865183225101E-2</v>
      </c>
      <c r="AJ28">
        <v>26</v>
      </c>
      <c r="AK28">
        <v>8</v>
      </c>
      <c r="AL28">
        <f t="shared" si="0"/>
        <v>0.88888888888888884</v>
      </c>
      <c r="AM28">
        <f t="shared" si="1"/>
        <v>0.30769230769230771</v>
      </c>
    </row>
    <row r="29" spans="1:39" x14ac:dyDescent="0.2">
      <c r="A29" t="s">
        <v>72</v>
      </c>
      <c r="B29" t="s">
        <v>73</v>
      </c>
      <c r="C29" t="s">
        <v>41</v>
      </c>
      <c r="D29" t="s">
        <v>73</v>
      </c>
      <c r="E29">
        <v>5.5701103897988</v>
      </c>
      <c r="F29">
        <v>2.9433427226326998</v>
      </c>
      <c r="G29">
        <v>-2.62676766716609</v>
      </c>
      <c r="H29">
        <v>28</v>
      </c>
      <c r="I29">
        <v>18</v>
      </c>
      <c r="J29">
        <v>10</v>
      </c>
      <c r="K29">
        <v>0.64285714285714202</v>
      </c>
      <c r="L29">
        <v>23.183877595561299</v>
      </c>
      <c r="M29">
        <v>14.120267436464299</v>
      </c>
      <c r="N29">
        <v>9.0636101590969993</v>
      </c>
      <c r="O29">
        <v>0.60905546875246197</v>
      </c>
      <c r="P29">
        <v>3.8797325635357001</v>
      </c>
      <c r="Q29">
        <v>0.93638984090299504</v>
      </c>
      <c r="R29">
        <v>2</v>
      </c>
      <c r="S29">
        <v>2</v>
      </c>
      <c r="T29">
        <v>2.7083969153693099E-2</v>
      </c>
      <c r="U29">
        <v>5.6263112201386601E-3</v>
      </c>
      <c r="V29">
        <v>18</v>
      </c>
      <c r="W29">
        <v>8</v>
      </c>
      <c r="X29">
        <v>10</v>
      </c>
      <c r="Y29">
        <v>0.44444444444444398</v>
      </c>
      <c r="Z29">
        <v>12.268321703963499</v>
      </c>
      <c r="AA29">
        <v>6.4475446855648002</v>
      </c>
      <c r="AB29">
        <v>5.8207770183987</v>
      </c>
      <c r="AC29">
        <v>0.52554414867371801</v>
      </c>
      <c r="AD29">
        <v>1.55245531443519</v>
      </c>
      <c r="AE29">
        <v>4.1792229816012902</v>
      </c>
      <c r="AF29">
        <v>3</v>
      </c>
      <c r="AG29">
        <v>3</v>
      </c>
      <c r="AH29">
        <v>3.505234772561E-2</v>
      </c>
      <c r="AI29">
        <v>1.63762237029614E-2</v>
      </c>
      <c r="AJ29">
        <v>63</v>
      </c>
      <c r="AK29">
        <v>22</v>
      </c>
      <c r="AL29">
        <f t="shared" si="0"/>
        <v>0.7857142857142857</v>
      </c>
      <c r="AM29">
        <f t="shared" si="1"/>
        <v>0.34920634920634919</v>
      </c>
    </row>
    <row r="30" spans="1:39" x14ac:dyDescent="0.2">
      <c r="A30" t="s">
        <v>108</v>
      </c>
      <c r="B30" t="s">
        <v>59</v>
      </c>
      <c r="C30" t="s">
        <v>41</v>
      </c>
      <c r="D30" t="s">
        <v>59</v>
      </c>
      <c r="E30">
        <v>-0.47116753729833499</v>
      </c>
      <c r="F30">
        <v>2.7867150888248799</v>
      </c>
      <c r="G30">
        <v>3.2578826261232199</v>
      </c>
      <c r="H30">
        <v>27</v>
      </c>
      <c r="I30">
        <v>17</v>
      </c>
      <c r="J30">
        <v>10</v>
      </c>
      <c r="K30">
        <v>0.62962962962962898</v>
      </c>
      <c r="L30">
        <v>24.3170953461068</v>
      </c>
      <c r="M30">
        <v>14.265190128640899</v>
      </c>
      <c r="N30">
        <v>10.0519052174658</v>
      </c>
      <c r="O30">
        <v>0.58663215838913196</v>
      </c>
      <c r="P30">
        <v>2.7348098713590199</v>
      </c>
      <c r="Q30">
        <v>-5.1905217465855899E-2</v>
      </c>
      <c r="R30">
        <v>5</v>
      </c>
      <c r="S30">
        <v>1</v>
      </c>
      <c r="T30">
        <v>2.0981100384906599E-2</v>
      </c>
      <c r="U30">
        <v>2.3148443950760699E-3</v>
      </c>
      <c r="V30">
        <v>27</v>
      </c>
      <c r="W30">
        <v>15</v>
      </c>
      <c r="X30">
        <v>12</v>
      </c>
      <c r="Y30">
        <v>0.55555555555555503</v>
      </c>
      <c r="Z30">
        <v>26.552965124585501</v>
      </c>
      <c r="AA30">
        <v>13.1475412492311</v>
      </c>
      <c r="AB30">
        <v>13.4054238753543</v>
      </c>
      <c r="AC30">
        <v>0.49514399569100298</v>
      </c>
      <c r="AD30">
        <v>1.8524587507688399</v>
      </c>
      <c r="AE30">
        <v>-1.40542387535437</v>
      </c>
      <c r="AF30">
        <v>5</v>
      </c>
      <c r="AG30">
        <v>2</v>
      </c>
      <c r="AH30">
        <v>4.7757131519038702E-2</v>
      </c>
      <c r="AI30">
        <v>8.04019560097955E-4</v>
      </c>
      <c r="AJ30">
        <v>79</v>
      </c>
      <c r="AK30">
        <v>19</v>
      </c>
      <c r="AL30">
        <f t="shared" si="0"/>
        <v>0.70370370370370372</v>
      </c>
      <c r="AM30">
        <f t="shared" si="1"/>
        <v>0.24050632911392406</v>
      </c>
    </row>
    <row r="31" spans="1:39" x14ac:dyDescent="0.2">
      <c r="A31" t="s">
        <v>64</v>
      </c>
      <c r="B31" t="s">
        <v>57</v>
      </c>
      <c r="C31" t="s">
        <v>41</v>
      </c>
      <c r="D31" t="s">
        <v>57</v>
      </c>
      <c r="E31">
        <v>6.0145954066756602</v>
      </c>
      <c r="F31">
        <v>2.55229786906171</v>
      </c>
      <c r="G31">
        <v>-3.46229753761394</v>
      </c>
      <c r="H31">
        <v>38</v>
      </c>
      <c r="I31">
        <v>26</v>
      </c>
      <c r="J31">
        <v>12</v>
      </c>
      <c r="K31">
        <v>0.68421052631578905</v>
      </c>
      <c r="L31">
        <v>45.499872983702097</v>
      </c>
      <c r="M31">
        <v>28.473787557320101</v>
      </c>
      <c r="N31">
        <v>17.026085426381901</v>
      </c>
      <c r="O31">
        <v>0.62579927569291005</v>
      </c>
      <c r="P31">
        <v>-2.4737875573201999</v>
      </c>
      <c r="Q31">
        <v>-5.0260854263819104</v>
      </c>
      <c r="R31">
        <v>10</v>
      </c>
      <c r="S31">
        <v>5</v>
      </c>
      <c r="T31">
        <v>2.2480174399062299E-2</v>
      </c>
      <c r="U31">
        <v>-3.7054708417500601E-3</v>
      </c>
      <c r="V31">
        <v>38</v>
      </c>
      <c r="W31">
        <v>18</v>
      </c>
      <c r="X31">
        <v>20</v>
      </c>
      <c r="Y31">
        <v>0.47368421052631499</v>
      </c>
      <c r="Z31">
        <v>39.622054014619401</v>
      </c>
      <c r="AA31">
        <v>20.5421757761167</v>
      </c>
      <c r="AB31">
        <v>19.079878238502701</v>
      </c>
      <c r="AC31">
        <v>0.51845307586873701</v>
      </c>
      <c r="AD31">
        <v>-2.5421757761167001</v>
      </c>
      <c r="AE31">
        <v>0.92012176149724101</v>
      </c>
      <c r="AF31">
        <v>6</v>
      </c>
      <c r="AG31">
        <v>4</v>
      </c>
      <c r="AH31">
        <v>4.6504758233121397E-2</v>
      </c>
      <c r="AI31">
        <v>-1.90381926598529E-3</v>
      </c>
      <c r="AJ31">
        <v>121</v>
      </c>
      <c r="AK31">
        <v>32</v>
      </c>
      <c r="AL31">
        <f t="shared" si="0"/>
        <v>0.84210526315789469</v>
      </c>
      <c r="AM31">
        <f t="shared" si="1"/>
        <v>0.26446280991735538</v>
      </c>
    </row>
    <row r="32" spans="1:39" x14ac:dyDescent="0.2">
      <c r="A32" t="s">
        <v>88</v>
      </c>
      <c r="B32" t="s">
        <v>83</v>
      </c>
      <c r="C32" t="s">
        <v>41</v>
      </c>
      <c r="D32" t="s">
        <v>83</v>
      </c>
      <c r="E32">
        <v>3.3747832507135498</v>
      </c>
      <c r="F32">
        <v>2.25559984170757</v>
      </c>
      <c r="G32">
        <v>-1.11918340900598</v>
      </c>
      <c r="H32">
        <v>8</v>
      </c>
      <c r="I32">
        <v>7</v>
      </c>
      <c r="J32">
        <v>1</v>
      </c>
      <c r="K32">
        <v>0.875</v>
      </c>
      <c r="L32">
        <v>10.715013798335701</v>
      </c>
      <c r="M32">
        <v>7.2297069783141099</v>
      </c>
      <c r="N32">
        <v>3.4853068200216799</v>
      </c>
      <c r="O32">
        <v>0.67472680057929502</v>
      </c>
      <c r="P32">
        <v>-0.22970697831411399</v>
      </c>
      <c r="Q32">
        <v>-2.4853068200216799</v>
      </c>
      <c r="R32">
        <v>1</v>
      </c>
      <c r="S32">
        <v>1</v>
      </c>
      <c r="T32">
        <v>2.29935918419223E-2</v>
      </c>
      <c r="U32">
        <v>-5.8262098676733704E-3</v>
      </c>
      <c r="V32">
        <v>6</v>
      </c>
      <c r="W32">
        <v>2</v>
      </c>
      <c r="X32">
        <v>4</v>
      </c>
      <c r="Y32">
        <v>0.33333333333333298</v>
      </c>
      <c r="Z32">
        <v>9.4854971627799394</v>
      </c>
      <c r="AA32">
        <v>4.30234028589296</v>
      </c>
      <c r="AB32">
        <v>5.1831568768869802</v>
      </c>
      <c r="AC32">
        <v>0.45357035188148898</v>
      </c>
      <c r="AD32">
        <v>-2.30234028589296</v>
      </c>
      <c r="AE32">
        <v>-1.18315687688698</v>
      </c>
      <c r="AF32">
        <v>1</v>
      </c>
      <c r="AG32">
        <v>1</v>
      </c>
      <c r="AH32">
        <v>4.8395393687652798E-2</v>
      </c>
      <c r="AI32">
        <v>-1.7783148789693601E-2</v>
      </c>
      <c r="AJ32">
        <v>24</v>
      </c>
      <c r="AK32">
        <v>8</v>
      </c>
      <c r="AL32">
        <f t="shared" si="0"/>
        <v>1</v>
      </c>
      <c r="AM32">
        <f t="shared" si="1"/>
        <v>0.33333333333333331</v>
      </c>
    </row>
    <row r="33" spans="1:39" x14ac:dyDescent="0.2">
      <c r="A33" t="s">
        <v>112</v>
      </c>
      <c r="B33" t="s">
        <v>61</v>
      </c>
      <c r="C33" t="s">
        <v>41</v>
      </c>
      <c r="D33" t="s">
        <v>61</v>
      </c>
      <c r="E33">
        <v>0.45835285839610201</v>
      </c>
      <c r="F33">
        <v>1.9576705862122801</v>
      </c>
      <c r="G33">
        <v>1.49931772781618</v>
      </c>
      <c r="H33">
        <v>8</v>
      </c>
      <c r="I33">
        <v>5</v>
      </c>
      <c r="J33">
        <v>3</v>
      </c>
      <c r="K33">
        <v>0.625</v>
      </c>
      <c r="L33">
        <v>5.8762104094359797</v>
      </c>
      <c r="M33">
        <v>2.9592699116118499</v>
      </c>
      <c r="N33">
        <v>2.9169404978241298</v>
      </c>
      <c r="O33">
        <v>0.50360176124052203</v>
      </c>
      <c r="P33">
        <v>2.0407300883881399</v>
      </c>
      <c r="Q33">
        <v>8.3059502175861805E-2</v>
      </c>
      <c r="R33">
        <v>2</v>
      </c>
      <c r="S33">
        <v>0</v>
      </c>
      <c r="T33">
        <v>3.51868886792574E-2</v>
      </c>
      <c r="U33">
        <v>1.2717302937509001E-2</v>
      </c>
      <c r="V33">
        <v>4</v>
      </c>
      <c r="W33">
        <v>3</v>
      </c>
      <c r="X33">
        <v>1</v>
      </c>
      <c r="Y33">
        <v>0.75</v>
      </c>
      <c r="Z33">
        <v>3.5465376341602899</v>
      </c>
      <c r="AA33">
        <v>2.0236099531720502</v>
      </c>
      <c r="AB33">
        <v>1.5229276809882299</v>
      </c>
      <c r="AC33">
        <v>0.57058747486016104</v>
      </c>
      <c r="AD33">
        <v>0.97639004682794694</v>
      </c>
      <c r="AE33">
        <v>-0.52292768098823605</v>
      </c>
      <c r="AF33">
        <v>1</v>
      </c>
      <c r="AG33">
        <v>0</v>
      </c>
      <c r="AH33">
        <v>4.3784415236546803E-2</v>
      </c>
      <c r="AI33">
        <v>5.5983008128359102E-3</v>
      </c>
      <c r="AJ33">
        <v>13</v>
      </c>
      <c r="AK33">
        <v>7</v>
      </c>
      <c r="AL33">
        <f t="shared" si="0"/>
        <v>0.875</v>
      </c>
      <c r="AM33">
        <f t="shared" si="1"/>
        <v>0.53846153846153844</v>
      </c>
    </row>
    <row r="34" spans="1:39" x14ac:dyDescent="0.2">
      <c r="A34" t="s">
        <v>150</v>
      </c>
      <c r="B34" t="s">
        <v>66</v>
      </c>
      <c r="C34" t="s">
        <v>41</v>
      </c>
      <c r="D34" t="s">
        <v>66</v>
      </c>
      <c r="E34">
        <v>0.39989354453042603</v>
      </c>
      <c r="F34">
        <v>1.2566843365890501</v>
      </c>
      <c r="G34">
        <v>0.85679079205863196</v>
      </c>
      <c r="H34">
        <v>2</v>
      </c>
      <c r="I34">
        <v>2</v>
      </c>
      <c r="J34">
        <v>0</v>
      </c>
      <c r="K34">
        <v>1</v>
      </c>
      <c r="L34">
        <v>2.9832815796267602</v>
      </c>
      <c r="M34">
        <v>1.8632986215188501</v>
      </c>
      <c r="N34">
        <v>1.1199829581079099</v>
      </c>
      <c r="O34">
        <v>0.62458020531604197</v>
      </c>
      <c r="P34">
        <v>0.136701378481147</v>
      </c>
      <c r="Q34">
        <v>-1.1199829581079099</v>
      </c>
      <c r="R34">
        <v>2</v>
      </c>
      <c r="S34">
        <v>1</v>
      </c>
      <c r="T34">
        <v>2.9247858623791801E-2</v>
      </c>
      <c r="U34">
        <v>-9.6400154865368994E-3</v>
      </c>
      <c r="V34">
        <v>1</v>
      </c>
      <c r="W34">
        <v>1</v>
      </c>
      <c r="X34">
        <v>0</v>
      </c>
      <c r="Y34">
        <v>1</v>
      </c>
      <c r="Z34">
        <v>1.7144767069359399</v>
      </c>
      <c r="AA34">
        <v>0.92884295743865497</v>
      </c>
      <c r="AB34">
        <v>0.78563374949728704</v>
      </c>
      <c r="AC34">
        <v>0.54176469921172199</v>
      </c>
      <c r="AD34">
        <v>7.1157042561344905E-2</v>
      </c>
      <c r="AE34">
        <v>-0.78563374949728704</v>
      </c>
      <c r="AF34">
        <v>0</v>
      </c>
      <c r="AG34">
        <v>0</v>
      </c>
      <c r="AH34">
        <v>3.2348617111998899E-2</v>
      </c>
      <c r="AI34">
        <v>-1.3480692583696999E-2</v>
      </c>
      <c r="AJ34">
        <v>8</v>
      </c>
      <c r="AK34">
        <v>2</v>
      </c>
      <c r="AL34">
        <f t="shared" si="0"/>
        <v>1</v>
      </c>
      <c r="AM34">
        <f t="shared" si="1"/>
        <v>0.25</v>
      </c>
    </row>
    <row r="35" spans="1:39" x14ac:dyDescent="0.2">
      <c r="A35" t="s">
        <v>110</v>
      </c>
      <c r="B35" t="s">
        <v>93</v>
      </c>
      <c r="C35" t="s">
        <v>41</v>
      </c>
      <c r="D35" t="s">
        <v>93</v>
      </c>
      <c r="E35">
        <v>0.83374043823685295</v>
      </c>
      <c r="F35">
        <v>0.94448417849927901</v>
      </c>
      <c r="G35">
        <v>0.11074374026242501</v>
      </c>
      <c r="H35">
        <v>2</v>
      </c>
      <c r="I35">
        <v>2</v>
      </c>
      <c r="J35">
        <v>0</v>
      </c>
      <c r="K35">
        <v>1</v>
      </c>
      <c r="L35">
        <v>1.5931478981579601</v>
      </c>
      <c r="M35">
        <v>1.3243318598293401</v>
      </c>
      <c r="N35">
        <v>0.26881603832862</v>
      </c>
      <c r="O35">
        <v>0.83126736780719901</v>
      </c>
      <c r="P35">
        <v>0.67566814017065802</v>
      </c>
      <c r="Q35">
        <v>-0.26881603832862</v>
      </c>
      <c r="R35">
        <v>1</v>
      </c>
      <c r="S35">
        <v>0</v>
      </c>
      <c r="T35">
        <v>2.9502738854777E-2</v>
      </c>
      <c r="U35">
        <v>7.5342981822599502E-3</v>
      </c>
      <c r="V35">
        <v>0</v>
      </c>
      <c r="W35">
        <v>0</v>
      </c>
      <c r="X35">
        <v>0</v>
      </c>
      <c r="Z35">
        <v>0.35389258310762101</v>
      </c>
      <c r="AA35">
        <v>0.121574421422597</v>
      </c>
      <c r="AB35">
        <v>0.23231816168502301</v>
      </c>
      <c r="AC35">
        <v>0.34353481035126998</v>
      </c>
      <c r="AD35">
        <v>-0.121574421422597</v>
      </c>
      <c r="AE35">
        <v>-0.23231816168502301</v>
      </c>
      <c r="AF35">
        <v>0</v>
      </c>
      <c r="AG35">
        <v>0</v>
      </c>
      <c r="AH35">
        <v>1.96606990615345E-2</v>
      </c>
      <c r="AI35">
        <v>-1.96606990615345E-2</v>
      </c>
      <c r="AJ35">
        <v>7</v>
      </c>
      <c r="AK35">
        <v>2</v>
      </c>
      <c r="AL35">
        <f t="shared" si="0"/>
        <v>1</v>
      </c>
      <c r="AM35">
        <f t="shared" si="1"/>
        <v>0.2857142857142857</v>
      </c>
    </row>
    <row r="36" spans="1:39" x14ac:dyDescent="0.2">
      <c r="A36" t="s">
        <v>151</v>
      </c>
      <c r="B36" t="s">
        <v>43</v>
      </c>
      <c r="C36" t="s">
        <v>41</v>
      </c>
      <c r="D36" t="s">
        <v>43</v>
      </c>
      <c r="E36">
        <v>2.5198990547376399</v>
      </c>
      <c r="F36">
        <v>0.85343153061084298</v>
      </c>
      <c r="G36">
        <v>-1.6664675241268001</v>
      </c>
      <c r="H36">
        <v>1</v>
      </c>
      <c r="I36">
        <v>1</v>
      </c>
      <c r="J36">
        <v>0</v>
      </c>
      <c r="K36">
        <v>1</v>
      </c>
      <c r="L36">
        <v>2.12199055672937</v>
      </c>
      <c r="M36">
        <v>1.13427951305926</v>
      </c>
      <c r="N36">
        <v>0.98771104367010898</v>
      </c>
      <c r="O36">
        <v>0.53453560830521796</v>
      </c>
      <c r="P36">
        <v>-0.134279513059265</v>
      </c>
      <c r="Q36">
        <v>-0.98771104367010898</v>
      </c>
      <c r="R36">
        <v>0</v>
      </c>
      <c r="S36">
        <v>0</v>
      </c>
      <c r="T36">
        <v>1.75371120390857E-2</v>
      </c>
      <c r="U36">
        <v>-9.2726492291683796E-3</v>
      </c>
      <c r="V36">
        <v>2</v>
      </c>
      <c r="W36">
        <v>0</v>
      </c>
      <c r="X36">
        <v>2</v>
      </c>
      <c r="Y36">
        <v>0</v>
      </c>
      <c r="Z36">
        <v>0.96491888680864901</v>
      </c>
      <c r="AA36">
        <v>0.315693205467726</v>
      </c>
      <c r="AB36">
        <v>0.64922568134092196</v>
      </c>
      <c r="AC36">
        <v>0.32717071847545898</v>
      </c>
      <c r="AD36">
        <v>-0.315693205467726</v>
      </c>
      <c r="AE36">
        <v>1.3507743186590699</v>
      </c>
      <c r="AF36">
        <v>0</v>
      </c>
      <c r="AG36">
        <v>0</v>
      </c>
      <c r="AH36">
        <v>2.3534606995332899E-2</v>
      </c>
      <c r="AI36">
        <v>2.5245880809545099E-2</v>
      </c>
      <c r="AJ36">
        <v>6</v>
      </c>
      <c r="AK36">
        <v>1</v>
      </c>
      <c r="AL36">
        <f t="shared" si="0"/>
        <v>1</v>
      </c>
      <c r="AM36">
        <f t="shared" si="1"/>
        <v>0.16666666666666666</v>
      </c>
    </row>
    <row r="37" spans="1:39" x14ac:dyDescent="0.2">
      <c r="A37" t="s">
        <v>133</v>
      </c>
      <c r="B37" t="s">
        <v>69</v>
      </c>
      <c r="C37" t="s">
        <v>41</v>
      </c>
      <c r="D37" t="s">
        <v>69</v>
      </c>
      <c r="E37">
        <v>2.0599398135056601</v>
      </c>
      <c r="F37">
        <v>0.84749376287320499</v>
      </c>
      <c r="G37">
        <v>-1.2124460506324499</v>
      </c>
      <c r="H37">
        <v>15</v>
      </c>
      <c r="I37">
        <v>8</v>
      </c>
      <c r="J37">
        <v>7</v>
      </c>
      <c r="K37">
        <v>0.53333333333333299</v>
      </c>
      <c r="L37">
        <v>17.064021998964702</v>
      </c>
      <c r="M37">
        <v>8.6082641180457902</v>
      </c>
      <c r="N37">
        <v>8.4557578809190002</v>
      </c>
      <c r="O37">
        <v>0.50446864863207597</v>
      </c>
      <c r="P37">
        <v>-0.60826411804579394</v>
      </c>
      <c r="Q37">
        <v>-1.4557578809189999</v>
      </c>
      <c r="R37">
        <v>0</v>
      </c>
      <c r="S37">
        <v>2</v>
      </c>
      <c r="T37">
        <v>1.9368923948881699E-2</v>
      </c>
      <c r="U37">
        <v>-2.34281725194641E-3</v>
      </c>
      <c r="V37">
        <v>17</v>
      </c>
      <c r="W37">
        <v>8</v>
      </c>
      <c r="X37">
        <v>9</v>
      </c>
      <c r="Y37">
        <v>0.47058823529411697</v>
      </c>
      <c r="Z37">
        <v>13.6768455518457</v>
      </c>
      <c r="AA37">
        <v>6.9446458012391004</v>
      </c>
      <c r="AB37">
        <v>6.7321997506066404</v>
      </c>
      <c r="AC37">
        <v>0.50776663192645999</v>
      </c>
      <c r="AD37">
        <v>1.0553541987608901</v>
      </c>
      <c r="AE37">
        <v>2.2678002493933498</v>
      </c>
      <c r="AF37">
        <v>2</v>
      </c>
      <c r="AG37">
        <v>1</v>
      </c>
      <c r="AH37">
        <v>4.2740142349517903E-2</v>
      </c>
      <c r="AI37">
        <v>1.0384857650482001E-2</v>
      </c>
      <c r="AJ37">
        <v>54</v>
      </c>
      <c r="AK37">
        <v>10</v>
      </c>
      <c r="AL37">
        <f t="shared" si="0"/>
        <v>0.66666666666666663</v>
      </c>
      <c r="AM37">
        <f t="shared" si="1"/>
        <v>0.18518518518518517</v>
      </c>
    </row>
    <row r="38" spans="1:39" x14ac:dyDescent="0.2">
      <c r="A38" t="s">
        <v>152</v>
      </c>
      <c r="B38" t="s">
        <v>59</v>
      </c>
      <c r="C38" t="s">
        <v>41</v>
      </c>
      <c r="D38" t="s">
        <v>59</v>
      </c>
      <c r="E38">
        <v>-0.60134667159135002</v>
      </c>
      <c r="F38">
        <v>0.73573877535035304</v>
      </c>
      <c r="G38">
        <v>1.3370854469417</v>
      </c>
      <c r="H38">
        <v>7</v>
      </c>
      <c r="I38">
        <v>4</v>
      </c>
      <c r="J38">
        <v>3</v>
      </c>
      <c r="K38">
        <v>0.57142857142857095</v>
      </c>
      <c r="L38">
        <v>4.36338939469083</v>
      </c>
      <c r="M38">
        <v>2.3138253096702299</v>
      </c>
      <c r="N38">
        <v>2.0495640850205898</v>
      </c>
      <c r="O38">
        <v>0.53028164584292903</v>
      </c>
      <c r="P38">
        <v>1.6861746903297601</v>
      </c>
      <c r="Q38">
        <v>0.95043591497940605</v>
      </c>
      <c r="R38">
        <v>1</v>
      </c>
      <c r="S38">
        <v>2</v>
      </c>
      <c r="T38">
        <v>1.8030534688805E-2</v>
      </c>
      <c r="U38">
        <v>1.0895085145905601E-2</v>
      </c>
      <c r="V38">
        <v>7</v>
      </c>
      <c r="W38">
        <v>5</v>
      </c>
      <c r="X38">
        <v>2</v>
      </c>
      <c r="Y38">
        <v>0.71428571428571397</v>
      </c>
      <c r="Z38">
        <v>6.6500815377046498</v>
      </c>
      <c r="AA38">
        <v>4.1564980453814702</v>
      </c>
      <c r="AB38">
        <v>2.4935834923231699</v>
      </c>
      <c r="AC38">
        <v>0.62502963637587705</v>
      </c>
      <c r="AD38">
        <v>0.84350195461852495</v>
      </c>
      <c r="AE38">
        <v>-0.493583492323178</v>
      </c>
      <c r="AF38">
        <v>1</v>
      </c>
      <c r="AG38">
        <v>1</v>
      </c>
      <c r="AH38">
        <v>6.7857974874537194E-2</v>
      </c>
      <c r="AI38">
        <v>3.5705965540341498E-3</v>
      </c>
      <c r="AJ38">
        <v>11</v>
      </c>
      <c r="AK38">
        <v>5</v>
      </c>
      <c r="AL38">
        <f t="shared" si="0"/>
        <v>0.7142857142857143</v>
      </c>
      <c r="AM38">
        <f t="shared" si="1"/>
        <v>0.45454545454545453</v>
      </c>
    </row>
    <row r="39" spans="1:39" x14ac:dyDescent="0.2">
      <c r="A39" t="s">
        <v>82</v>
      </c>
      <c r="B39" t="s">
        <v>83</v>
      </c>
      <c r="C39" t="s">
        <v>41</v>
      </c>
      <c r="D39" t="s">
        <v>83</v>
      </c>
      <c r="E39">
        <v>3.76910094423341</v>
      </c>
      <c r="F39">
        <v>0.57008977848626297</v>
      </c>
      <c r="G39">
        <v>-3.1990111657471401</v>
      </c>
      <c r="H39">
        <v>25</v>
      </c>
      <c r="I39">
        <v>15</v>
      </c>
      <c r="J39">
        <v>10</v>
      </c>
      <c r="K39">
        <v>0.6</v>
      </c>
      <c r="L39">
        <v>18.277186661907301</v>
      </c>
      <c r="M39">
        <v>11.353548441710499</v>
      </c>
      <c r="N39">
        <v>6.9236382201967999</v>
      </c>
      <c r="O39">
        <v>0.62118687365453196</v>
      </c>
      <c r="P39">
        <v>3.6464515582894501</v>
      </c>
      <c r="Q39">
        <v>3.0763617798031899</v>
      </c>
      <c r="R39">
        <v>4</v>
      </c>
      <c r="S39">
        <v>1</v>
      </c>
      <c r="T39">
        <v>2.46323270376109E-2</v>
      </c>
      <c r="U39">
        <v>9.0603953343566697E-3</v>
      </c>
      <c r="V39">
        <v>23</v>
      </c>
      <c r="W39">
        <v>9</v>
      </c>
      <c r="X39">
        <v>14</v>
      </c>
      <c r="Y39">
        <v>0.39130434782608697</v>
      </c>
      <c r="Z39">
        <v>12.367135486477901</v>
      </c>
      <c r="AA39">
        <v>5.2830733261125502</v>
      </c>
      <c r="AB39">
        <v>7.0840621603654004</v>
      </c>
      <c r="AC39">
        <v>0.42718650021170901</v>
      </c>
      <c r="AD39">
        <v>3.71692667388744</v>
      </c>
      <c r="AE39">
        <v>6.9159378396345899</v>
      </c>
      <c r="AF39">
        <v>3</v>
      </c>
      <c r="AG39">
        <v>3</v>
      </c>
      <c r="AH39">
        <v>3.9638254764352399E-2</v>
      </c>
      <c r="AI39">
        <v>3.4079693953596203E-2</v>
      </c>
      <c r="AJ39">
        <v>62</v>
      </c>
      <c r="AK39">
        <v>16</v>
      </c>
      <c r="AL39">
        <f t="shared" si="0"/>
        <v>0.64</v>
      </c>
      <c r="AM39">
        <f t="shared" si="1"/>
        <v>0.25806451612903225</v>
      </c>
    </row>
    <row r="40" spans="1:39" x14ac:dyDescent="0.2">
      <c r="A40" t="s">
        <v>96</v>
      </c>
      <c r="B40" t="s">
        <v>93</v>
      </c>
      <c r="C40" t="s">
        <v>41</v>
      </c>
      <c r="D40" t="s">
        <v>93</v>
      </c>
      <c r="E40">
        <v>-7.2637903650840201</v>
      </c>
      <c r="F40">
        <v>0.430779489330196</v>
      </c>
      <c r="G40">
        <v>7.6945698544142198</v>
      </c>
      <c r="H40">
        <v>22</v>
      </c>
      <c r="I40">
        <v>14</v>
      </c>
      <c r="J40">
        <v>8</v>
      </c>
      <c r="K40">
        <v>0.63636363636363602</v>
      </c>
      <c r="L40">
        <v>17.109848463562301</v>
      </c>
      <c r="M40">
        <v>11.339534487116</v>
      </c>
      <c r="N40">
        <v>5.7703139764462597</v>
      </c>
      <c r="O40">
        <v>0.66274897239827002</v>
      </c>
      <c r="P40">
        <v>2.6604655128839299</v>
      </c>
      <c r="Q40">
        <v>2.2296860235537301</v>
      </c>
      <c r="R40">
        <v>2</v>
      </c>
      <c r="S40">
        <v>1</v>
      </c>
      <c r="T40">
        <v>2.34381485802223E-2</v>
      </c>
      <c r="U40">
        <v>6.6988377211474898E-3</v>
      </c>
      <c r="V40">
        <v>20</v>
      </c>
      <c r="W40">
        <v>14</v>
      </c>
      <c r="X40">
        <v>6</v>
      </c>
      <c r="Y40">
        <v>0.7</v>
      </c>
      <c r="Z40">
        <v>15.0109892996001</v>
      </c>
      <c r="AA40">
        <v>7.6582097225929404</v>
      </c>
      <c r="AB40">
        <v>7.3527795770071602</v>
      </c>
      <c r="AC40">
        <v>0.510173551505826</v>
      </c>
      <c r="AD40">
        <v>6.3417902774070596</v>
      </c>
      <c r="AE40">
        <v>-1.35277957700716</v>
      </c>
      <c r="AF40">
        <v>1</v>
      </c>
      <c r="AG40">
        <v>2</v>
      </c>
      <c r="AH40">
        <v>4.6763206540810197E-2</v>
      </c>
      <c r="AI40">
        <v>1.55420894093454E-2</v>
      </c>
      <c r="AJ40">
        <v>52</v>
      </c>
      <c r="AK40">
        <v>16</v>
      </c>
      <c r="AL40">
        <f t="shared" si="0"/>
        <v>0.72727272727272729</v>
      </c>
      <c r="AM40">
        <f t="shared" si="1"/>
        <v>0.30769230769230771</v>
      </c>
    </row>
    <row r="41" spans="1:39" x14ac:dyDescent="0.2">
      <c r="A41" t="s">
        <v>153</v>
      </c>
      <c r="B41" t="s">
        <v>57</v>
      </c>
      <c r="C41" t="s">
        <v>41</v>
      </c>
      <c r="D41" t="s">
        <v>57</v>
      </c>
      <c r="E41">
        <v>-0.86364387948888799</v>
      </c>
      <c r="F41">
        <v>0.22343294473539699</v>
      </c>
      <c r="G41">
        <v>1.0870768242242801</v>
      </c>
      <c r="H41">
        <v>5</v>
      </c>
      <c r="I41">
        <v>3</v>
      </c>
      <c r="J41">
        <v>2</v>
      </c>
      <c r="K41">
        <v>0.6</v>
      </c>
      <c r="L41">
        <v>7.2219183179691102</v>
      </c>
      <c r="M41">
        <v>3.9992426866168498</v>
      </c>
      <c r="N41">
        <v>3.2226756313522502</v>
      </c>
      <c r="O41">
        <v>0.55376459695842795</v>
      </c>
      <c r="P41">
        <v>-0.999242686616859</v>
      </c>
      <c r="Q41">
        <v>-1.22267563135225</v>
      </c>
      <c r="R41">
        <v>2</v>
      </c>
      <c r="S41">
        <v>1</v>
      </c>
      <c r="T41">
        <v>2.0933096573823501E-2</v>
      </c>
      <c r="U41">
        <v>-6.4403429506351096E-3</v>
      </c>
      <c r="V41">
        <v>7</v>
      </c>
      <c r="W41">
        <v>4</v>
      </c>
      <c r="X41">
        <v>3</v>
      </c>
      <c r="Y41">
        <v>0.57142857142857095</v>
      </c>
      <c r="Z41">
        <v>6.8117777026836297</v>
      </c>
      <c r="AA41">
        <v>3.3623504392296701</v>
      </c>
      <c r="AB41">
        <v>3.44942726345396</v>
      </c>
      <c r="AC41">
        <v>0.49360836274868503</v>
      </c>
      <c r="AD41">
        <v>0.63764956077032398</v>
      </c>
      <c r="AE41">
        <v>-0.449427263453961</v>
      </c>
      <c r="AF41">
        <v>0</v>
      </c>
      <c r="AG41">
        <v>0</v>
      </c>
      <c r="AH41">
        <v>3.8924444015335E-2</v>
      </c>
      <c r="AI41">
        <v>1.0755559846649201E-3</v>
      </c>
      <c r="AJ41">
        <v>16</v>
      </c>
      <c r="AK41">
        <v>4</v>
      </c>
      <c r="AL41">
        <f t="shared" si="0"/>
        <v>0.8</v>
      </c>
      <c r="AM41">
        <f t="shared" si="1"/>
        <v>0.25</v>
      </c>
    </row>
    <row r="42" spans="1:39" x14ac:dyDescent="0.2">
      <c r="A42" t="s">
        <v>80</v>
      </c>
      <c r="B42" t="s">
        <v>81</v>
      </c>
      <c r="C42" t="s">
        <v>41</v>
      </c>
      <c r="D42" t="s">
        <v>81</v>
      </c>
      <c r="E42">
        <v>-1.9677472429907199</v>
      </c>
      <c r="F42">
        <v>0.15777598307465299</v>
      </c>
      <c r="G42">
        <v>2.1255232260653698</v>
      </c>
      <c r="H42">
        <v>11</v>
      </c>
      <c r="I42">
        <v>8</v>
      </c>
      <c r="J42">
        <v>3</v>
      </c>
      <c r="K42">
        <v>0.72727272727272696</v>
      </c>
      <c r="L42">
        <v>28.025606171843201</v>
      </c>
      <c r="M42">
        <v>16.433915094384201</v>
      </c>
      <c r="N42">
        <v>11.591691077458901</v>
      </c>
      <c r="O42">
        <v>0.586389282487495</v>
      </c>
      <c r="P42">
        <v>-8.4339150943842807</v>
      </c>
      <c r="Q42">
        <v>-8.5916910774589397</v>
      </c>
      <c r="R42">
        <v>3</v>
      </c>
      <c r="S42">
        <v>1</v>
      </c>
      <c r="T42">
        <v>2.58777526979161E-2</v>
      </c>
      <c r="U42">
        <v>-1.5720781322108201E-2</v>
      </c>
      <c r="V42">
        <v>17</v>
      </c>
      <c r="W42">
        <v>7</v>
      </c>
      <c r="X42">
        <v>10</v>
      </c>
      <c r="Y42">
        <v>0.41176470588235198</v>
      </c>
      <c r="Z42">
        <v>21.938604606507699</v>
      </c>
      <c r="AA42">
        <v>8.4065406902211706</v>
      </c>
      <c r="AB42">
        <v>13.5320639162865</v>
      </c>
      <c r="AC42">
        <v>0.38318483973805201</v>
      </c>
      <c r="AD42">
        <v>-1.4065406902211699</v>
      </c>
      <c r="AE42">
        <v>-3.5320639162865501</v>
      </c>
      <c r="AF42">
        <v>1</v>
      </c>
      <c r="AG42">
        <v>1</v>
      </c>
      <c r="AH42">
        <v>4.3186229540369499E-2</v>
      </c>
      <c r="AI42">
        <v>-9.7216626112357103E-3</v>
      </c>
      <c r="AJ42">
        <v>81</v>
      </c>
      <c r="AK42">
        <v>9</v>
      </c>
      <c r="AL42">
        <f t="shared" si="0"/>
        <v>0.81818181818181823</v>
      </c>
      <c r="AM42">
        <f t="shared" si="1"/>
        <v>0.1111111111111111</v>
      </c>
    </row>
    <row r="43" spans="1:39" x14ac:dyDescent="0.2">
      <c r="A43" t="s">
        <v>142</v>
      </c>
      <c r="B43" t="s">
        <v>107</v>
      </c>
      <c r="C43" t="s">
        <v>41</v>
      </c>
      <c r="D43" t="s">
        <v>107</v>
      </c>
      <c r="E43">
        <v>5.9533739197831004</v>
      </c>
      <c r="F43">
        <v>0.137245879772767</v>
      </c>
      <c r="G43">
        <v>-5.8161280400103301</v>
      </c>
      <c r="H43">
        <v>29</v>
      </c>
      <c r="I43">
        <v>14</v>
      </c>
      <c r="J43">
        <v>15</v>
      </c>
      <c r="K43">
        <v>0.48275862068965503</v>
      </c>
      <c r="L43">
        <v>27.944731934604398</v>
      </c>
      <c r="M43">
        <v>13.4037430274158</v>
      </c>
      <c r="N43">
        <v>14.540988907188501</v>
      </c>
      <c r="O43">
        <v>0.479651873518877</v>
      </c>
      <c r="P43">
        <v>0.59625697258417998</v>
      </c>
      <c r="Q43">
        <v>0.459011092811412</v>
      </c>
      <c r="R43">
        <v>3</v>
      </c>
      <c r="S43">
        <v>1</v>
      </c>
      <c r="T43">
        <v>2.1058577192618201E-2</v>
      </c>
      <c r="U43">
        <v>7.9522838387007303E-4</v>
      </c>
      <c r="V43">
        <v>33</v>
      </c>
      <c r="W43">
        <v>14</v>
      </c>
      <c r="X43">
        <v>19</v>
      </c>
      <c r="Y43">
        <v>0.42424242424242398</v>
      </c>
      <c r="Z43">
        <v>28.885128803649899</v>
      </c>
      <c r="AA43">
        <v>14.8506284218301</v>
      </c>
      <c r="AB43">
        <v>14.0345003818198</v>
      </c>
      <c r="AC43">
        <v>0.514127131742393</v>
      </c>
      <c r="AD43">
        <v>-0.85062842183013898</v>
      </c>
      <c r="AE43">
        <v>4.96549961818019</v>
      </c>
      <c r="AF43">
        <v>7</v>
      </c>
      <c r="AG43">
        <v>3</v>
      </c>
      <c r="AH43">
        <v>4.4992412466744403E-2</v>
      </c>
      <c r="AI43">
        <v>6.4094566921340497E-3</v>
      </c>
      <c r="AJ43">
        <v>75</v>
      </c>
      <c r="AK43">
        <v>21</v>
      </c>
      <c r="AL43">
        <f t="shared" si="0"/>
        <v>0.72413793103448276</v>
      </c>
      <c r="AM43">
        <f t="shared" si="1"/>
        <v>0.28000000000000003</v>
      </c>
    </row>
    <row r="44" spans="1:39" x14ac:dyDescent="0.2">
      <c r="A44" t="s">
        <v>154</v>
      </c>
      <c r="B44" t="s">
        <v>53</v>
      </c>
      <c r="C44" t="s">
        <v>41</v>
      </c>
      <c r="D44" t="s">
        <v>53</v>
      </c>
      <c r="E44">
        <v>-1.32278427935663</v>
      </c>
      <c r="F44">
        <v>-3.5641896441550899E-2</v>
      </c>
      <c r="G44">
        <v>1.2871423829150801</v>
      </c>
      <c r="H44">
        <v>1</v>
      </c>
      <c r="I44">
        <v>1</v>
      </c>
      <c r="J44">
        <v>0</v>
      </c>
      <c r="K44">
        <v>1</v>
      </c>
      <c r="L44">
        <v>2.0773366342914898</v>
      </c>
      <c r="M44">
        <v>1.5564892653665201</v>
      </c>
      <c r="N44">
        <v>0.52084736892497296</v>
      </c>
      <c r="O44">
        <v>0.74927156228455205</v>
      </c>
      <c r="P44">
        <v>-0.55648926536652399</v>
      </c>
      <c r="Q44">
        <v>-0.52084736892497296</v>
      </c>
      <c r="R44">
        <v>0</v>
      </c>
      <c r="S44">
        <v>0</v>
      </c>
      <c r="T44">
        <v>2.1638923273869699E-2</v>
      </c>
      <c r="U44">
        <v>-1.12222566072031E-2</v>
      </c>
      <c r="V44">
        <v>1</v>
      </c>
      <c r="W44">
        <v>1</v>
      </c>
      <c r="X44">
        <v>0</v>
      </c>
      <c r="Y44">
        <v>1</v>
      </c>
      <c r="Z44">
        <v>1.0286935374828201</v>
      </c>
      <c r="AA44">
        <v>0.37077557728387001</v>
      </c>
      <c r="AB44">
        <v>0.65791796019895699</v>
      </c>
      <c r="AC44">
        <v>0.36043346611386601</v>
      </c>
      <c r="AD44">
        <v>0.62922442271612899</v>
      </c>
      <c r="AE44">
        <v>-0.65791796019895699</v>
      </c>
      <c r="AF44">
        <v>0</v>
      </c>
      <c r="AG44">
        <v>0</v>
      </c>
      <c r="AH44">
        <v>3.2146673046338302E-2</v>
      </c>
      <c r="AI44">
        <v>-8.9667304633837797E-4</v>
      </c>
      <c r="AJ44">
        <v>8</v>
      </c>
      <c r="AK44">
        <v>1</v>
      </c>
      <c r="AL44">
        <f t="shared" si="0"/>
        <v>1</v>
      </c>
      <c r="AM44">
        <f t="shared" si="1"/>
        <v>0.125</v>
      </c>
    </row>
    <row r="45" spans="1:39" x14ac:dyDescent="0.2">
      <c r="A45" t="s">
        <v>74</v>
      </c>
      <c r="B45" t="s">
        <v>75</v>
      </c>
      <c r="C45" t="s">
        <v>41</v>
      </c>
      <c r="D45" t="s">
        <v>75</v>
      </c>
      <c r="E45">
        <v>3.2209752952432602</v>
      </c>
      <c r="F45">
        <v>-5.6619667063891599E-2</v>
      </c>
      <c r="G45">
        <v>-3.2775949623071501</v>
      </c>
      <c r="H45">
        <v>26</v>
      </c>
      <c r="I45">
        <v>16</v>
      </c>
      <c r="J45">
        <v>10</v>
      </c>
      <c r="K45">
        <v>0.61538461538461497</v>
      </c>
      <c r="L45">
        <v>33.291373657480698</v>
      </c>
      <c r="M45">
        <v>19.673996662272302</v>
      </c>
      <c r="N45">
        <v>13.617376995208399</v>
      </c>
      <c r="O45">
        <v>0.59096379935201204</v>
      </c>
      <c r="P45">
        <v>-3.6739966622723399</v>
      </c>
      <c r="Q45">
        <v>-3.6173769952084398</v>
      </c>
      <c r="R45">
        <v>3</v>
      </c>
      <c r="S45">
        <v>0</v>
      </c>
      <c r="T45">
        <v>2.5807266401147898E-2</v>
      </c>
      <c r="U45">
        <v>-5.6522276414579702E-3</v>
      </c>
      <c r="V45">
        <v>27</v>
      </c>
      <c r="W45">
        <v>10</v>
      </c>
      <c r="X45">
        <v>17</v>
      </c>
      <c r="Y45">
        <v>0.37037037037037002</v>
      </c>
      <c r="Z45">
        <v>23.173052229787402</v>
      </c>
      <c r="AA45">
        <v>9.7253235960473194</v>
      </c>
      <c r="AB45">
        <v>13.4477286337401</v>
      </c>
      <c r="AC45">
        <v>0.41968246131797998</v>
      </c>
      <c r="AD45">
        <v>0.27467640395267801</v>
      </c>
      <c r="AE45">
        <v>3.5522713662598302</v>
      </c>
      <c r="AF45">
        <v>1</v>
      </c>
      <c r="AG45">
        <v>0</v>
      </c>
      <c r="AH45">
        <v>4.0869580652182498E-2</v>
      </c>
      <c r="AI45">
        <v>6.7494669668651201E-3</v>
      </c>
      <c r="AJ45">
        <v>112</v>
      </c>
      <c r="AK45">
        <v>16</v>
      </c>
      <c r="AL45">
        <f t="shared" si="0"/>
        <v>0.61538461538461542</v>
      </c>
      <c r="AM45">
        <f t="shared" si="1"/>
        <v>0.14285714285714285</v>
      </c>
    </row>
    <row r="46" spans="1:39" x14ac:dyDescent="0.2">
      <c r="A46" t="s">
        <v>122</v>
      </c>
      <c r="B46" t="s">
        <v>57</v>
      </c>
      <c r="C46" t="s">
        <v>41</v>
      </c>
      <c r="D46" t="s">
        <v>57</v>
      </c>
      <c r="E46">
        <v>-1.3388618588214001</v>
      </c>
      <c r="F46">
        <v>-0.17544626887175699</v>
      </c>
      <c r="G46">
        <v>1.1634155899496501</v>
      </c>
      <c r="H46">
        <v>2</v>
      </c>
      <c r="I46">
        <v>1</v>
      </c>
      <c r="J46">
        <v>1</v>
      </c>
      <c r="K46">
        <v>0.5</v>
      </c>
      <c r="L46">
        <v>3.38287545076642</v>
      </c>
      <c r="M46">
        <v>1.77916085981909</v>
      </c>
      <c r="N46">
        <v>1.60371459094733</v>
      </c>
      <c r="O46">
        <v>0.52593152946733601</v>
      </c>
      <c r="P46">
        <v>-0.779160859819091</v>
      </c>
      <c r="Q46">
        <v>-0.60371459094733304</v>
      </c>
      <c r="R46">
        <v>0</v>
      </c>
      <c r="S46">
        <v>0</v>
      </c>
      <c r="T46">
        <v>4.3370198086749003E-2</v>
      </c>
      <c r="U46">
        <v>-1.77291724457233E-2</v>
      </c>
      <c r="V46">
        <v>1</v>
      </c>
      <c r="W46">
        <v>1</v>
      </c>
      <c r="X46">
        <v>0</v>
      </c>
      <c r="Y46">
        <v>1</v>
      </c>
      <c r="Z46">
        <v>1.36858186563682</v>
      </c>
      <c r="AA46">
        <v>0.60258313784358397</v>
      </c>
      <c r="AB46">
        <v>0.76599872779323497</v>
      </c>
      <c r="AC46">
        <v>0.44029747359190202</v>
      </c>
      <c r="AD46">
        <v>0.39741686215641497</v>
      </c>
      <c r="AE46">
        <v>-0.76599872779323497</v>
      </c>
      <c r="AF46">
        <v>0</v>
      </c>
      <c r="AG46">
        <v>1</v>
      </c>
      <c r="AH46">
        <v>5.47432746254728E-2</v>
      </c>
      <c r="AI46">
        <v>-1.4743274625472799E-2</v>
      </c>
      <c r="AJ46">
        <v>8</v>
      </c>
      <c r="AK46">
        <v>2</v>
      </c>
      <c r="AL46">
        <f t="shared" si="0"/>
        <v>1</v>
      </c>
      <c r="AM46">
        <f t="shared" si="1"/>
        <v>0.25</v>
      </c>
    </row>
    <row r="47" spans="1:39" x14ac:dyDescent="0.2">
      <c r="A47" t="s">
        <v>52</v>
      </c>
      <c r="B47" t="s">
        <v>53</v>
      </c>
      <c r="C47" t="s">
        <v>41</v>
      </c>
      <c r="D47" t="s">
        <v>53</v>
      </c>
      <c r="E47">
        <v>-1.2976754906199901</v>
      </c>
      <c r="F47">
        <v>-0.19694453203411499</v>
      </c>
      <c r="G47">
        <v>1.10073095858588</v>
      </c>
      <c r="H47">
        <v>47</v>
      </c>
      <c r="I47">
        <v>31</v>
      </c>
      <c r="J47">
        <v>16</v>
      </c>
      <c r="K47">
        <v>0.659574468085106</v>
      </c>
      <c r="L47">
        <v>50.686377904754501</v>
      </c>
      <c r="M47">
        <v>32.941661218394302</v>
      </c>
      <c r="N47">
        <v>17.744716686360199</v>
      </c>
      <c r="O47">
        <v>0.64991152613618297</v>
      </c>
      <c r="P47">
        <v>-1.94166121839434</v>
      </c>
      <c r="Q47">
        <v>-1.7447166863602199</v>
      </c>
      <c r="R47">
        <v>6</v>
      </c>
      <c r="S47">
        <v>2</v>
      </c>
      <c r="T47">
        <v>2.3542209895380601E-2</v>
      </c>
      <c r="U47">
        <v>-1.7122052506988201E-3</v>
      </c>
      <c r="V47">
        <v>30</v>
      </c>
      <c r="W47">
        <v>11</v>
      </c>
      <c r="X47">
        <v>19</v>
      </c>
      <c r="Y47">
        <v>0.36666666666666597</v>
      </c>
      <c r="Z47">
        <v>36.188829685597298</v>
      </c>
      <c r="AA47">
        <v>13.5440493635057</v>
      </c>
      <c r="AB47">
        <v>22.644780322091599</v>
      </c>
      <c r="AC47">
        <v>0.37426049643423698</v>
      </c>
      <c r="AD47">
        <v>-2.5440493635057502</v>
      </c>
      <c r="AE47">
        <v>-3.6447803220916302</v>
      </c>
      <c r="AF47">
        <v>5</v>
      </c>
      <c r="AG47">
        <v>0</v>
      </c>
      <c r="AH47">
        <v>3.8829216400855501E-2</v>
      </c>
      <c r="AI47">
        <v>-6.6403751991388101E-3</v>
      </c>
      <c r="AJ47">
        <v>135</v>
      </c>
      <c r="AK47">
        <v>37</v>
      </c>
      <c r="AL47">
        <f t="shared" si="0"/>
        <v>0.78723404255319152</v>
      </c>
      <c r="AM47">
        <f t="shared" si="1"/>
        <v>0.27407407407407408</v>
      </c>
    </row>
    <row r="48" spans="1:39" x14ac:dyDescent="0.2">
      <c r="A48" t="s">
        <v>104</v>
      </c>
      <c r="B48" t="s">
        <v>69</v>
      </c>
      <c r="C48" t="s">
        <v>41</v>
      </c>
      <c r="D48" t="s">
        <v>69</v>
      </c>
      <c r="E48">
        <v>-2.1737813087579201</v>
      </c>
      <c r="F48">
        <v>-0.28695763476328601</v>
      </c>
      <c r="G48">
        <v>1.88682367399464</v>
      </c>
      <c r="H48">
        <v>5</v>
      </c>
      <c r="I48">
        <v>2</v>
      </c>
      <c r="J48">
        <v>3</v>
      </c>
      <c r="K48">
        <v>0.4</v>
      </c>
      <c r="L48">
        <v>5.9022434497937697</v>
      </c>
      <c r="M48">
        <v>2.5946005422785299</v>
      </c>
      <c r="N48">
        <v>3.3076429075152398</v>
      </c>
      <c r="O48">
        <v>0.43959564940839302</v>
      </c>
      <c r="P48">
        <v>-0.59460054227853099</v>
      </c>
      <c r="Q48">
        <v>-0.30764290751524498</v>
      </c>
      <c r="R48">
        <v>0</v>
      </c>
      <c r="S48">
        <v>0</v>
      </c>
      <c r="T48">
        <v>1.65328948173495E-2</v>
      </c>
      <c r="U48">
        <v>-2.52729257645315E-3</v>
      </c>
      <c r="V48">
        <v>6</v>
      </c>
      <c r="W48">
        <v>3</v>
      </c>
      <c r="X48">
        <v>3</v>
      </c>
      <c r="Y48">
        <v>0.5</v>
      </c>
      <c r="Z48">
        <v>4.4707762926301902</v>
      </c>
      <c r="AA48">
        <v>1.2919763093177701</v>
      </c>
      <c r="AB48">
        <v>3.1787999833124099</v>
      </c>
      <c r="AC48">
        <v>0.28898254458571798</v>
      </c>
      <c r="AD48">
        <v>1.7080236906822199</v>
      </c>
      <c r="AE48">
        <v>-0.178799983312418</v>
      </c>
      <c r="AF48">
        <v>0</v>
      </c>
      <c r="AG48">
        <v>1</v>
      </c>
      <c r="AH48">
        <v>2.8118089890755898E-2</v>
      </c>
      <c r="AI48">
        <v>9.6177591658478199E-3</v>
      </c>
      <c r="AJ48">
        <v>24</v>
      </c>
      <c r="AK48">
        <v>3</v>
      </c>
      <c r="AL48">
        <f t="shared" si="0"/>
        <v>0.6</v>
      </c>
      <c r="AM48">
        <f t="shared" si="1"/>
        <v>0.125</v>
      </c>
    </row>
    <row r="49" spans="1:39" x14ac:dyDescent="0.2">
      <c r="A49" t="s">
        <v>155</v>
      </c>
      <c r="B49" t="s">
        <v>83</v>
      </c>
      <c r="C49" t="s">
        <v>41</v>
      </c>
      <c r="D49" t="s">
        <v>83</v>
      </c>
      <c r="E49">
        <v>0.39552654822234301</v>
      </c>
      <c r="F49">
        <v>-0.38432166954775498</v>
      </c>
      <c r="G49">
        <v>-0.77984821777009805</v>
      </c>
      <c r="H49">
        <v>2</v>
      </c>
      <c r="I49">
        <v>1</v>
      </c>
      <c r="J49">
        <v>1</v>
      </c>
      <c r="K49">
        <v>0.5</v>
      </c>
      <c r="L49">
        <v>4.0296981236240796</v>
      </c>
      <c r="M49">
        <v>2.2070098965859102</v>
      </c>
      <c r="N49">
        <v>1.8226882270381599</v>
      </c>
      <c r="O49">
        <v>0.54768616131499603</v>
      </c>
      <c r="P49">
        <v>-1.20700989658591</v>
      </c>
      <c r="Q49">
        <v>-0.82268822703816202</v>
      </c>
      <c r="R49">
        <v>0</v>
      </c>
      <c r="S49">
        <v>0</v>
      </c>
      <c r="T49">
        <v>1.54394564123527E-2</v>
      </c>
      <c r="U49">
        <v>-7.7766211633106498E-3</v>
      </c>
      <c r="V49">
        <v>2</v>
      </c>
      <c r="W49">
        <v>0</v>
      </c>
      <c r="X49">
        <v>2</v>
      </c>
      <c r="Y49">
        <v>0</v>
      </c>
      <c r="Z49">
        <v>5.2998951252995399</v>
      </c>
      <c r="AA49">
        <v>2.03987167153482</v>
      </c>
      <c r="AB49">
        <v>3.2600234537647199</v>
      </c>
      <c r="AC49">
        <v>0.38488906352076702</v>
      </c>
      <c r="AD49">
        <v>-2.03987167153482</v>
      </c>
      <c r="AE49">
        <v>-1.2600234537647199</v>
      </c>
      <c r="AF49">
        <v>0</v>
      </c>
      <c r="AG49">
        <v>0</v>
      </c>
      <c r="AH49">
        <v>5.1959756130387599E-2</v>
      </c>
      <c r="AI49">
        <v>-3.2351912993132698E-2</v>
      </c>
      <c r="AJ49">
        <v>16</v>
      </c>
      <c r="AK49">
        <v>1</v>
      </c>
      <c r="AL49">
        <f t="shared" si="0"/>
        <v>0.5</v>
      </c>
      <c r="AM49">
        <f t="shared" si="1"/>
        <v>6.25E-2</v>
      </c>
    </row>
    <row r="50" spans="1:39" x14ac:dyDescent="0.2">
      <c r="A50" t="s">
        <v>76</v>
      </c>
      <c r="B50" t="s">
        <v>55</v>
      </c>
      <c r="C50" t="s">
        <v>41</v>
      </c>
      <c r="D50" t="s">
        <v>55</v>
      </c>
      <c r="E50">
        <v>0.79101906954708001</v>
      </c>
      <c r="F50">
        <v>-0.49901464484339703</v>
      </c>
      <c r="G50">
        <v>-1.2900337143904701</v>
      </c>
      <c r="H50">
        <v>36</v>
      </c>
      <c r="I50">
        <v>22</v>
      </c>
      <c r="J50">
        <v>14</v>
      </c>
      <c r="K50">
        <v>0.61111111111111105</v>
      </c>
      <c r="L50">
        <v>34.828002398351998</v>
      </c>
      <c r="M50">
        <v>21.663508521597699</v>
      </c>
      <c r="N50">
        <v>13.1644938767543</v>
      </c>
      <c r="O50">
        <v>0.62201409870761804</v>
      </c>
      <c r="P50">
        <v>0.33649147840226201</v>
      </c>
      <c r="Q50">
        <v>0.83550612324565998</v>
      </c>
      <c r="R50">
        <v>13</v>
      </c>
      <c r="S50">
        <v>3</v>
      </c>
      <c r="T50">
        <v>2.2600910057334202E-2</v>
      </c>
      <c r="U50">
        <v>7.6054354422318195E-4</v>
      </c>
      <c r="V50">
        <v>26</v>
      </c>
      <c r="W50">
        <v>12</v>
      </c>
      <c r="X50">
        <v>14</v>
      </c>
      <c r="Y50">
        <v>0.46153846153846101</v>
      </c>
      <c r="Z50">
        <v>28.626500784826199</v>
      </c>
      <c r="AA50">
        <v>13.9582672496083</v>
      </c>
      <c r="AB50">
        <v>14.6682335352178</v>
      </c>
      <c r="AC50">
        <v>0.48759949232101302</v>
      </c>
      <c r="AD50">
        <v>-1.95826724960837</v>
      </c>
      <c r="AE50">
        <v>-0.66823353521789997</v>
      </c>
      <c r="AF50">
        <v>1</v>
      </c>
      <c r="AG50">
        <v>1</v>
      </c>
      <c r="AH50">
        <v>4.1012178774822702E-2</v>
      </c>
      <c r="AI50">
        <v>-3.76289510720096E-3</v>
      </c>
      <c r="AJ50">
        <v>106</v>
      </c>
      <c r="AK50">
        <v>29</v>
      </c>
      <c r="AL50">
        <f t="shared" si="0"/>
        <v>0.80555555555555558</v>
      </c>
      <c r="AM50">
        <f t="shared" si="1"/>
        <v>0.27358490566037735</v>
      </c>
    </row>
    <row r="51" spans="1:39" x14ac:dyDescent="0.2">
      <c r="A51" t="s">
        <v>100</v>
      </c>
      <c r="B51" t="s">
        <v>49</v>
      </c>
      <c r="C51" t="s">
        <v>41</v>
      </c>
      <c r="D51" t="s">
        <v>49</v>
      </c>
      <c r="E51">
        <v>1.97116169673514</v>
      </c>
      <c r="F51">
        <v>-0.57240845790015205</v>
      </c>
      <c r="G51">
        <v>-2.5435701546353</v>
      </c>
      <c r="H51">
        <v>48</v>
      </c>
      <c r="I51">
        <v>27</v>
      </c>
      <c r="J51">
        <v>21</v>
      </c>
      <c r="K51">
        <v>0.5625</v>
      </c>
      <c r="L51">
        <v>28.530892388341801</v>
      </c>
      <c r="M51">
        <v>17.551650423120901</v>
      </c>
      <c r="N51">
        <v>10.979241965220799</v>
      </c>
      <c r="O51">
        <v>0.61518056232593898</v>
      </c>
      <c r="P51">
        <v>9.448349576879</v>
      </c>
      <c r="Q51">
        <v>10.020758034779099</v>
      </c>
      <c r="R51">
        <v>4</v>
      </c>
      <c r="S51">
        <v>2</v>
      </c>
      <c r="T51">
        <v>2.17793071666731E-2</v>
      </c>
      <c r="U51">
        <v>1.48619142073726E-2</v>
      </c>
      <c r="V51">
        <v>28</v>
      </c>
      <c r="W51">
        <v>11</v>
      </c>
      <c r="X51">
        <v>17</v>
      </c>
      <c r="Y51">
        <v>0.39285714285714202</v>
      </c>
      <c r="Z51">
        <v>26.7926014615356</v>
      </c>
      <c r="AA51">
        <v>11.668085808085401</v>
      </c>
      <c r="AB51">
        <v>15.1245156534501</v>
      </c>
      <c r="AC51">
        <v>0.43549656142336701</v>
      </c>
      <c r="AD51">
        <v>-0.66808580808545404</v>
      </c>
      <c r="AE51">
        <v>1.8754843465498401</v>
      </c>
      <c r="AF51">
        <v>0</v>
      </c>
      <c r="AG51">
        <v>3</v>
      </c>
      <c r="AH51">
        <v>4.5643273358663701E-2</v>
      </c>
      <c r="AI51">
        <v>2.05689699908754E-3</v>
      </c>
      <c r="AJ51">
        <v>89</v>
      </c>
      <c r="AK51">
        <v>31</v>
      </c>
      <c r="AL51">
        <f t="shared" si="0"/>
        <v>0.64583333333333337</v>
      </c>
      <c r="AM51">
        <f t="shared" si="1"/>
        <v>0.34831460674157305</v>
      </c>
    </row>
    <row r="52" spans="1:39" x14ac:dyDescent="0.2">
      <c r="A52" t="s">
        <v>116</v>
      </c>
      <c r="B52" t="s">
        <v>71</v>
      </c>
      <c r="C52" t="s">
        <v>41</v>
      </c>
      <c r="D52" t="s">
        <v>71</v>
      </c>
      <c r="E52">
        <v>1.26413348557331</v>
      </c>
      <c r="F52">
        <v>-0.73810077601227797</v>
      </c>
      <c r="G52">
        <v>-2.0022342615855901</v>
      </c>
      <c r="H52">
        <v>2</v>
      </c>
      <c r="I52">
        <v>1</v>
      </c>
      <c r="J52">
        <v>1</v>
      </c>
      <c r="K52">
        <v>0.5</v>
      </c>
      <c r="L52">
        <v>3.39495986142677</v>
      </c>
      <c r="M52">
        <v>2.0665303187195199</v>
      </c>
      <c r="N52">
        <v>1.3284295427072399</v>
      </c>
      <c r="O52">
        <v>0.60870537593073004</v>
      </c>
      <c r="P52">
        <v>-1.0665303187195201</v>
      </c>
      <c r="Q52">
        <v>-0.328429542707246</v>
      </c>
      <c r="R52">
        <v>1</v>
      </c>
      <c r="S52">
        <v>0</v>
      </c>
      <c r="T52">
        <v>1.5088710495229999E-2</v>
      </c>
      <c r="U52">
        <v>-6.1998216063411998E-3</v>
      </c>
      <c r="V52">
        <v>2</v>
      </c>
      <c r="W52">
        <v>0</v>
      </c>
      <c r="X52">
        <v>2</v>
      </c>
      <c r="Y52">
        <v>0</v>
      </c>
      <c r="Z52">
        <v>3.9142852770400598</v>
      </c>
      <c r="AA52">
        <v>1.9582597693128201</v>
      </c>
      <c r="AB52">
        <v>1.9560255077272299</v>
      </c>
      <c r="AC52">
        <v>0.50028539840960196</v>
      </c>
      <c r="AD52">
        <v>-1.9582597693128201</v>
      </c>
      <c r="AE52">
        <v>4.3974492272768603E-2</v>
      </c>
      <c r="AF52">
        <v>0</v>
      </c>
      <c r="AG52">
        <v>0</v>
      </c>
      <c r="AH52">
        <v>3.2084305549508599E-2</v>
      </c>
      <c r="AI52">
        <v>-1.5690862926557799E-2</v>
      </c>
      <c r="AJ52">
        <v>10</v>
      </c>
      <c r="AK52">
        <v>1</v>
      </c>
      <c r="AL52">
        <f t="shared" si="0"/>
        <v>0.5</v>
      </c>
      <c r="AM52">
        <f t="shared" si="1"/>
        <v>0.1</v>
      </c>
    </row>
    <row r="53" spans="1:39" x14ac:dyDescent="0.2">
      <c r="A53" t="s">
        <v>106</v>
      </c>
      <c r="B53" t="s">
        <v>107</v>
      </c>
      <c r="C53" t="s">
        <v>41</v>
      </c>
      <c r="D53" t="s">
        <v>107</v>
      </c>
      <c r="E53">
        <v>-2.0841847822100999E-2</v>
      </c>
      <c r="F53">
        <v>-0.76436681828770803</v>
      </c>
      <c r="G53">
        <v>-0.74352497046560695</v>
      </c>
      <c r="H53">
        <v>8</v>
      </c>
      <c r="I53">
        <v>5</v>
      </c>
      <c r="J53">
        <v>3</v>
      </c>
      <c r="K53">
        <v>0.625</v>
      </c>
      <c r="L53">
        <v>10.666069178761701</v>
      </c>
      <c r="M53">
        <v>6.7152179985247296</v>
      </c>
      <c r="N53">
        <v>3.9508511802370299</v>
      </c>
      <c r="O53">
        <v>0.62958695335447901</v>
      </c>
      <c r="P53">
        <v>-1.71521799852474</v>
      </c>
      <c r="Q53">
        <v>-0.95085118023703197</v>
      </c>
      <c r="R53">
        <v>1</v>
      </c>
      <c r="S53">
        <v>1</v>
      </c>
      <c r="T53">
        <v>2.00490022157176E-2</v>
      </c>
      <c r="U53">
        <v>-5.0114082307552103E-3</v>
      </c>
      <c r="V53">
        <v>9</v>
      </c>
      <c r="W53">
        <v>4</v>
      </c>
      <c r="X53">
        <v>5</v>
      </c>
      <c r="Y53">
        <v>0.44444444444444398</v>
      </c>
      <c r="Z53">
        <v>5.9532101068387497</v>
      </c>
      <c r="AA53">
        <v>2.8483675386521798</v>
      </c>
      <c r="AB53">
        <v>3.1048425681865699</v>
      </c>
      <c r="AC53">
        <v>0.47845909812255999</v>
      </c>
      <c r="AD53">
        <v>1.1516324613478099</v>
      </c>
      <c r="AE53">
        <v>1.8951574318134199</v>
      </c>
      <c r="AF53">
        <v>0</v>
      </c>
      <c r="AG53">
        <v>0</v>
      </c>
      <c r="AH53">
        <v>2.9617960730541001E-2</v>
      </c>
      <c r="AI53">
        <v>1.5158158672443901E-2</v>
      </c>
      <c r="AJ53">
        <v>32</v>
      </c>
      <c r="AK53">
        <v>6</v>
      </c>
      <c r="AL53">
        <f t="shared" si="0"/>
        <v>0.75</v>
      </c>
      <c r="AM53">
        <f t="shared" si="1"/>
        <v>0.1875</v>
      </c>
    </row>
    <row r="54" spans="1:39" x14ac:dyDescent="0.2">
      <c r="A54" t="s">
        <v>143</v>
      </c>
      <c r="B54" t="s">
        <v>53</v>
      </c>
      <c r="C54" t="s">
        <v>41</v>
      </c>
      <c r="D54" t="s">
        <v>53</v>
      </c>
      <c r="E54">
        <v>-2.3933770440409901</v>
      </c>
      <c r="F54">
        <v>-1.0627508108105901</v>
      </c>
      <c r="G54">
        <v>1.3306262332304</v>
      </c>
      <c r="H54">
        <v>25</v>
      </c>
      <c r="I54">
        <v>15</v>
      </c>
      <c r="J54">
        <v>10</v>
      </c>
      <c r="K54">
        <v>0.6</v>
      </c>
      <c r="L54">
        <v>32.883280089020801</v>
      </c>
      <c r="M54">
        <v>19.4730154499156</v>
      </c>
      <c r="N54">
        <v>13.410264639105099</v>
      </c>
      <c r="O54">
        <v>0.59218591932431397</v>
      </c>
      <c r="P54">
        <v>-4.4730154499156898</v>
      </c>
      <c r="Q54">
        <v>-3.4102646391051001</v>
      </c>
      <c r="R54">
        <v>4</v>
      </c>
      <c r="S54">
        <v>2</v>
      </c>
      <c r="T54">
        <v>2.5314303378768801E-2</v>
      </c>
      <c r="U54">
        <v>-6.0687298606780602E-3</v>
      </c>
      <c r="V54">
        <v>30</v>
      </c>
      <c r="W54">
        <v>14</v>
      </c>
      <c r="X54">
        <v>16</v>
      </c>
      <c r="Y54">
        <v>0.46666666666666601</v>
      </c>
      <c r="Z54">
        <v>23.810363940045502</v>
      </c>
      <c r="AA54">
        <v>10.239868853407501</v>
      </c>
      <c r="AB54">
        <v>13.5704950866379</v>
      </c>
      <c r="AC54">
        <v>0.43005931699286598</v>
      </c>
      <c r="AD54">
        <v>3.7601311465924399</v>
      </c>
      <c r="AE54">
        <v>2.4295049133620301</v>
      </c>
      <c r="AF54">
        <v>7</v>
      </c>
      <c r="AG54">
        <v>2</v>
      </c>
      <c r="AH54">
        <v>3.9486507363259503E-2</v>
      </c>
      <c r="AI54">
        <v>1.02647364178349E-2</v>
      </c>
      <c r="AJ54">
        <v>110</v>
      </c>
      <c r="AK54">
        <v>19</v>
      </c>
      <c r="AL54">
        <f t="shared" si="0"/>
        <v>0.76</v>
      </c>
      <c r="AM54">
        <f t="shared" si="1"/>
        <v>0.17272727272727273</v>
      </c>
    </row>
    <row r="55" spans="1:39" x14ac:dyDescent="0.2">
      <c r="A55" t="s">
        <v>124</v>
      </c>
      <c r="B55" t="s">
        <v>78</v>
      </c>
      <c r="C55" t="s">
        <v>41</v>
      </c>
      <c r="D55" t="s">
        <v>78</v>
      </c>
      <c r="E55">
        <v>1.8514195013641299</v>
      </c>
      <c r="F55">
        <v>-1.0800472166445001</v>
      </c>
      <c r="G55">
        <v>-2.9314667180086298</v>
      </c>
      <c r="H55">
        <v>25</v>
      </c>
      <c r="I55">
        <v>14</v>
      </c>
      <c r="J55">
        <v>11</v>
      </c>
      <c r="K55">
        <v>0.56000000000000005</v>
      </c>
      <c r="L55">
        <v>18.6574381789972</v>
      </c>
      <c r="M55">
        <v>11.368742697820799</v>
      </c>
      <c r="N55">
        <v>7.2886954811763598</v>
      </c>
      <c r="O55">
        <v>0.60934103539566997</v>
      </c>
      <c r="P55">
        <v>2.6312573021791299</v>
      </c>
      <c r="Q55">
        <v>3.7113045188236402</v>
      </c>
      <c r="R55">
        <v>3</v>
      </c>
      <c r="S55">
        <v>4</v>
      </c>
      <c r="T55">
        <v>1.7888243699901399E-2</v>
      </c>
      <c r="U55">
        <v>6.08107557143124E-3</v>
      </c>
      <c r="V55">
        <v>22</v>
      </c>
      <c r="W55">
        <v>9</v>
      </c>
      <c r="X55">
        <v>13</v>
      </c>
      <c r="Y55">
        <v>0.40909090909090901</v>
      </c>
      <c r="Z55">
        <v>19.405985963884</v>
      </c>
      <c r="AA55">
        <v>9.1687263409463498</v>
      </c>
      <c r="AB55">
        <v>10.2372596229377</v>
      </c>
      <c r="AC55">
        <v>0.47246897725320403</v>
      </c>
      <c r="AD55">
        <v>-0.168726340946355</v>
      </c>
      <c r="AE55">
        <v>2.76274037706228</v>
      </c>
      <c r="AF55">
        <v>3</v>
      </c>
      <c r="AG55">
        <v>2</v>
      </c>
      <c r="AH55">
        <v>4.5341088700663702E-2</v>
      </c>
      <c r="AI55">
        <v>6.0607804582147803E-3</v>
      </c>
      <c r="AJ55">
        <v>53</v>
      </c>
      <c r="AK55">
        <v>16</v>
      </c>
      <c r="AL55">
        <f t="shared" si="0"/>
        <v>0.64</v>
      </c>
      <c r="AM55">
        <f t="shared" si="1"/>
        <v>0.30188679245283018</v>
      </c>
    </row>
    <row r="56" spans="1:39" x14ac:dyDescent="0.2">
      <c r="A56" t="s">
        <v>109</v>
      </c>
      <c r="B56" t="s">
        <v>99</v>
      </c>
      <c r="C56" t="s">
        <v>41</v>
      </c>
      <c r="D56" t="s">
        <v>99</v>
      </c>
      <c r="E56">
        <v>1.09418799035915</v>
      </c>
      <c r="F56">
        <v>-1.0878490700749801</v>
      </c>
      <c r="G56">
        <v>-2.1820370604341401</v>
      </c>
      <c r="H56">
        <v>11</v>
      </c>
      <c r="I56">
        <v>5</v>
      </c>
      <c r="J56">
        <v>6</v>
      </c>
      <c r="K56">
        <v>0.45454545454545398</v>
      </c>
      <c r="L56">
        <v>8.5214387378641998</v>
      </c>
      <c r="M56">
        <v>4.3046439039695903</v>
      </c>
      <c r="N56">
        <v>4.2167948338945997</v>
      </c>
      <c r="O56">
        <v>0.50515459142390096</v>
      </c>
      <c r="P56">
        <v>0.69535609603040605</v>
      </c>
      <c r="Q56">
        <v>1.78320516610539</v>
      </c>
      <c r="R56">
        <v>2</v>
      </c>
      <c r="S56">
        <v>0</v>
      </c>
      <c r="T56">
        <v>1.4202397896440301E-2</v>
      </c>
      <c r="U56">
        <v>4.1309354368929902E-3</v>
      </c>
      <c r="V56">
        <v>8</v>
      </c>
      <c r="W56">
        <v>4</v>
      </c>
      <c r="X56">
        <v>4</v>
      </c>
      <c r="Y56">
        <v>0.5</v>
      </c>
      <c r="Z56">
        <v>13.199064122343399</v>
      </c>
      <c r="AA56">
        <v>7.6905505913888002</v>
      </c>
      <c r="AB56">
        <v>5.5085135309546596</v>
      </c>
      <c r="AC56">
        <v>0.58265877944862698</v>
      </c>
      <c r="AD56">
        <v>-3.6905505913888002</v>
      </c>
      <c r="AE56">
        <v>-1.50851353095466</v>
      </c>
      <c r="AF56">
        <v>2</v>
      </c>
      <c r="AG56">
        <v>1</v>
      </c>
      <c r="AH56">
        <v>5.5226209716918197E-2</v>
      </c>
      <c r="AI56">
        <v>-2.17534063696379E-2</v>
      </c>
      <c r="AJ56">
        <v>23</v>
      </c>
      <c r="AK56">
        <v>7</v>
      </c>
      <c r="AL56">
        <f t="shared" si="0"/>
        <v>0.63636363636363635</v>
      </c>
      <c r="AM56">
        <f t="shared" si="1"/>
        <v>0.30434782608695654</v>
      </c>
    </row>
    <row r="57" spans="1:39" x14ac:dyDescent="0.2">
      <c r="A57" t="s">
        <v>105</v>
      </c>
      <c r="B57" t="s">
        <v>86</v>
      </c>
      <c r="C57" t="s">
        <v>41</v>
      </c>
      <c r="D57" t="s">
        <v>86</v>
      </c>
      <c r="E57">
        <v>-2.47888295498216</v>
      </c>
      <c r="F57">
        <v>-1.2158263469705799</v>
      </c>
      <c r="G57">
        <v>1.2630566080115699</v>
      </c>
      <c r="H57">
        <v>12</v>
      </c>
      <c r="I57">
        <v>4</v>
      </c>
      <c r="J57">
        <v>8</v>
      </c>
      <c r="K57">
        <v>0.33333333333333298</v>
      </c>
      <c r="L57">
        <v>20.004413008462699</v>
      </c>
      <c r="M57">
        <v>8.6101196777166606</v>
      </c>
      <c r="N57">
        <v>11.394293330746001</v>
      </c>
      <c r="O57">
        <v>0.43041101351357802</v>
      </c>
      <c r="P57">
        <v>-4.6101196777166598</v>
      </c>
      <c r="Q57">
        <v>-3.3942933307460699</v>
      </c>
      <c r="R57">
        <v>2</v>
      </c>
      <c r="S57">
        <v>0</v>
      </c>
      <c r="T57">
        <v>1.7734408695445601E-2</v>
      </c>
      <c r="U57">
        <v>-7.0961108231052603E-3</v>
      </c>
      <c r="V57">
        <v>20</v>
      </c>
      <c r="W57">
        <v>10</v>
      </c>
      <c r="X57">
        <v>10</v>
      </c>
      <c r="Y57">
        <v>0.5</v>
      </c>
      <c r="Z57">
        <v>23.339374566123499</v>
      </c>
      <c r="AA57">
        <v>11.0381589790559</v>
      </c>
      <c r="AB57">
        <v>12.3012155870675</v>
      </c>
      <c r="AC57">
        <v>0.47294150697069498</v>
      </c>
      <c r="AD57">
        <v>-1.03815897905599</v>
      </c>
      <c r="AE57">
        <v>-2.3012155870675599</v>
      </c>
      <c r="AF57">
        <v>2</v>
      </c>
      <c r="AG57">
        <v>2</v>
      </c>
      <c r="AH57">
        <v>4.3543609265155901E-2</v>
      </c>
      <c r="AI57">
        <v>-6.2301764293350003E-3</v>
      </c>
      <c r="AJ57">
        <v>67</v>
      </c>
      <c r="AK57">
        <v>10</v>
      </c>
      <c r="AL57">
        <f t="shared" si="0"/>
        <v>0.83333333333333337</v>
      </c>
      <c r="AM57">
        <f t="shared" si="1"/>
        <v>0.14925373134328357</v>
      </c>
    </row>
    <row r="58" spans="1:39" x14ac:dyDescent="0.2">
      <c r="A58" t="s">
        <v>131</v>
      </c>
      <c r="B58" t="s">
        <v>86</v>
      </c>
      <c r="C58" t="s">
        <v>41</v>
      </c>
      <c r="D58" t="s">
        <v>86</v>
      </c>
      <c r="E58">
        <v>-1.8548501505939501</v>
      </c>
      <c r="F58">
        <v>-1.23746635876349</v>
      </c>
      <c r="G58">
        <v>0.61738379183045899</v>
      </c>
      <c r="H58">
        <v>2</v>
      </c>
      <c r="I58">
        <v>0</v>
      </c>
      <c r="J58">
        <v>2</v>
      </c>
      <c r="K58">
        <v>0</v>
      </c>
      <c r="L58">
        <v>1.79534256308516</v>
      </c>
      <c r="M58">
        <v>0.51640446092433001</v>
      </c>
      <c r="N58">
        <v>1.2789381021608299</v>
      </c>
      <c r="O58">
        <v>0.28763561425120199</v>
      </c>
      <c r="P58">
        <v>-0.51640446092433001</v>
      </c>
      <c r="Q58">
        <v>0.72106189783916297</v>
      </c>
      <c r="R58">
        <v>0</v>
      </c>
      <c r="S58">
        <v>0</v>
      </c>
      <c r="T58">
        <v>1.1889685848246101E-2</v>
      </c>
      <c r="U58">
        <v>1.3553472643366401E-3</v>
      </c>
      <c r="V58">
        <v>4</v>
      </c>
      <c r="W58">
        <v>2</v>
      </c>
      <c r="X58">
        <v>2</v>
      </c>
      <c r="Y58">
        <v>0.5</v>
      </c>
      <c r="Z58">
        <v>2.52827515755689</v>
      </c>
      <c r="AA58">
        <v>0.95544568286321696</v>
      </c>
      <c r="AB58">
        <v>1.57282947469367</v>
      </c>
      <c r="AC58">
        <v>0.37790415335428801</v>
      </c>
      <c r="AD58">
        <v>1.0445543171367799</v>
      </c>
      <c r="AE58">
        <v>0.42717052530632299</v>
      </c>
      <c r="AF58">
        <v>1</v>
      </c>
      <c r="AG58">
        <v>1</v>
      </c>
      <c r="AH58">
        <v>3.4633906267902602E-2</v>
      </c>
      <c r="AI58">
        <v>2.01606142800425E-2</v>
      </c>
      <c r="AJ58">
        <v>5</v>
      </c>
      <c r="AK58">
        <v>0</v>
      </c>
      <c r="AL58">
        <f t="shared" si="0"/>
        <v>0</v>
      </c>
      <c r="AM58">
        <f t="shared" si="1"/>
        <v>0</v>
      </c>
    </row>
    <row r="59" spans="1:39" x14ac:dyDescent="0.2">
      <c r="A59" t="s">
        <v>132</v>
      </c>
      <c r="B59" t="s">
        <v>45</v>
      </c>
      <c r="C59" t="s">
        <v>41</v>
      </c>
      <c r="D59" t="s">
        <v>45</v>
      </c>
      <c r="E59">
        <v>-0.64581023937842996</v>
      </c>
      <c r="F59">
        <v>-1.2791829142914399</v>
      </c>
      <c r="G59">
        <v>-0.63337267491301796</v>
      </c>
      <c r="H59">
        <v>4</v>
      </c>
      <c r="I59">
        <v>1</v>
      </c>
      <c r="J59">
        <v>3</v>
      </c>
      <c r="K59">
        <v>0.25</v>
      </c>
      <c r="L59">
        <v>11.0811562720005</v>
      </c>
      <c r="M59">
        <v>5.1801695931459797</v>
      </c>
      <c r="N59">
        <v>5.9009866788545304</v>
      </c>
      <c r="O59">
        <v>0.467475547315856</v>
      </c>
      <c r="P59">
        <v>-4.1801695931459797</v>
      </c>
      <c r="Q59">
        <v>-2.90098667885453</v>
      </c>
      <c r="R59">
        <v>0</v>
      </c>
      <c r="S59">
        <v>0</v>
      </c>
      <c r="T59">
        <v>1.7729850035200799E-2</v>
      </c>
      <c r="U59">
        <v>-1.13298500352008E-2</v>
      </c>
      <c r="V59">
        <v>17</v>
      </c>
      <c r="W59">
        <v>8</v>
      </c>
      <c r="X59">
        <v>9</v>
      </c>
      <c r="Y59">
        <v>0.47058823529411697</v>
      </c>
      <c r="Z59">
        <v>10.9446250512154</v>
      </c>
      <c r="AA59">
        <v>5.2889988630642097</v>
      </c>
      <c r="AB59">
        <v>5.6556261881511896</v>
      </c>
      <c r="AC59">
        <v>0.48325080469310899</v>
      </c>
      <c r="AD59">
        <v>2.71100113693578</v>
      </c>
      <c r="AE59">
        <v>3.3443738118487998</v>
      </c>
      <c r="AF59">
        <v>1</v>
      </c>
      <c r="AG59">
        <v>2</v>
      </c>
      <c r="AH59">
        <v>4.6179852536773799E-2</v>
      </c>
      <c r="AI59">
        <v>2.5550105269133198E-2</v>
      </c>
      <c r="AJ59">
        <v>38</v>
      </c>
      <c r="AK59">
        <v>2</v>
      </c>
      <c r="AL59">
        <f t="shared" si="0"/>
        <v>0.5</v>
      </c>
      <c r="AM59">
        <f t="shared" si="1"/>
        <v>5.2631578947368418E-2</v>
      </c>
    </row>
    <row r="60" spans="1:39" x14ac:dyDescent="0.2">
      <c r="A60" t="s">
        <v>118</v>
      </c>
      <c r="B60" t="s">
        <v>119</v>
      </c>
      <c r="C60" t="s">
        <v>41</v>
      </c>
      <c r="D60" t="s">
        <v>119</v>
      </c>
      <c r="E60">
        <v>-2.5762470135932101</v>
      </c>
      <c r="F60">
        <v>-1.4520676152584899</v>
      </c>
      <c r="G60">
        <v>1.1241793983347099</v>
      </c>
      <c r="H60">
        <v>40</v>
      </c>
      <c r="I60">
        <v>22</v>
      </c>
      <c r="J60">
        <v>18</v>
      </c>
      <c r="K60">
        <v>0.55000000000000004</v>
      </c>
      <c r="L60">
        <v>37.613931204186301</v>
      </c>
      <c r="M60">
        <v>21.5329994097224</v>
      </c>
      <c r="N60">
        <v>16.080931794463901</v>
      </c>
      <c r="O60">
        <v>0.57247404672569402</v>
      </c>
      <c r="P60">
        <v>0.46700059027758201</v>
      </c>
      <c r="Q60">
        <v>1.9190682055360799</v>
      </c>
      <c r="R60">
        <v>7</v>
      </c>
      <c r="S60">
        <v>0</v>
      </c>
      <c r="T60">
        <v>2.0885025654739701E-2</v>
      </c>
      <c r="U60">
        <v>1.32485774337238E-3</v>
      </c>
      <c r="V60">
        <v>36</v>
      </c>
      <c r="W60">
        <v>18</v>
      </c>
      <c r="X60">
        <v>18</v>
      </c>
      <c r="Y60">
        <v>0.5</v>
      </c>
      <c r="Z60">
        <v>41.627343041255102</v>
      </c>
      <c r="AA60">
        <v>20.251581821460199</v>
      </c>
      <c r="AB60">
        <v>21.375761219794899</v>
      </c>
      <c r="AC60">
        <v>0.486497103631853</v>
      </c>
      <c r="AD60">
        <v>-2.2515818214602099</v>
      </c>
      <c r="AE60">
        <v>-3.3757612197949198</v>
      </c>
      <c r="AF60">
        <v>4</v>
      </c>
      <c r="AG60">
        <v>1</v>
      </c>
      <c r="AH60">
        <v>4.89157967582316E-2</v>
      </c>
      <c r="AI60">
        <v>-6.6126240202763198E-3</v>
      </c>
      <c r="AJ60">
        <v>112</v>
      </c>
      <c r="AK60">
        <v>26</v>
      </c>
      <c r="AL60">
        <f t="shared" si="0"/>
        <v>0.65</v>
      </c>
      <c r="AM60">
        <f t="shared" si="1"/>
        <v>0.23214285714285715</v>
      </c>
    </row>
    <row r="61" spans="1:39" x14ac:dyDescent="0.2">
      <c r="A61" t="s">
        <v>156</v>
      </c>
      <c r="B61" t="s">
        <v>119</v>
      </c>
      <c r="C61" t="s">
        <v>41</v>
      </c>
      <c r="D61" t="s">
        <v>119</v>
      </c>
      <c r="E61">
        <v>-1.2673132591484999</v>
      </c>
      <c r="F61">
        <v>-1.6483749586940799</v>
      </c>
      <c r="G61">
        <v>-0.38106169954558899</v>
      </c>
      <c r="H61">
        <v>3</v>
      </c>
      <c r="I61">
        <v>1</v>
      </c>
      <c r="J61">
        <v>2</v>
      </c>
      <c r="K61">
        <v>0.33333333333333298</v>
      </c>
      <c r="L61">
        <v>6.7253840662326301</v>
      </c>
      <c r="M61">
        <v>3.68687951246336</v>
      </c>
      <c r="N61">
        <v>3.0385045537692701</v>
      </c>
      <c r="O61">
        <v>0.54820356371537904</v>
      </c>
      <c r="P61">
        <v>-2.68687951246336</v>
      </c>
      <c r="Q61">
        <v>-1.0385045537692701</v>
      </c>
      <c r="R61">
        <v>1</v>
      </c>
      <c r="S61">
        <v>1</v>
      </c>
      <c r="T61">
        <v>2.3352028007752199E-2</v>
      </c>
      <c r="U61">
        <v>-1.29353613410855E-2</v>
      </c>
      <c r="V61">
        <v>5</v>
      </c>
      <c r="W61">
        <v>3</v>
      </c>
      <c r="X61">
        <v>2</v>
      </c>
      <c r="Y61">
        <v>0.6</v>
      </c>
      <c r="Z61">
        <v>4.7928768537070798</v>
      </c>
      <c r="AA61">
        <v>3.0869692766263301</v>
      </c>
      <c r="AB61">
        <v>1.7059075770807399</v>
      </c>
      <c r="AC61">
        <v>0.64407439849799097</v>
      </c>
      <c r="AD61">
        <v>-8.6969276626337993E-2</v>
      </c>
      <c r="AE61">
        <v>0.29409242291925097</v>
      </c>
      <c r="AF61">
        <v>0</v>
      </c>
      <c r="AG61">
        <v>0</v>
      </c>
      <c r="AH61">
        <v>3.52417415713756E-2</v>
      </c>
      <c r="AI61">
        <v>1.5229643109772901E-3</v>
      </c>
      <c r="AJ61">
        <v>22</v>
      </c>
      <c r="AK61">
        <v>3</v>
      </c>
      <c r="AL61">
        <f t="shared" si="0"/>
        <v>1</v>
      </c>
      <c r="AM61">
        <f t="shared" si="1"/>
        <v>0.13636363636363635</v>
      </c>
    </row>
    <row r="62" spans="1:39" x14ac:dyDescent="0.2">
      <c r="A62" t="s">
        <v>126</v>
      </c>
      <c r="B62" t="s">
        <v>78</v>
      </c>
      <c r="C62" t="s">
        <v>41</v>
      </c>
      <c r="D62" t="s">
        <v>78</v>
      </c>
      <c r="E62">
        <v>0.30615075765148198</v>
      </c>
      <c r="F62">
        <v>-1.6926178670493599</v>
      </c>
      <c r="G62">
        <v>-1.99876862470085</v>
      </c>
      <c r="H62">
        <v>6</v>
      </c>
      <c r="I62">
        <v>3</v>
      </c>
      <c r="J62">
        <v>3</v>
      </c>
      <c r="K62">
        <v>0.5</v>
      </c>
      <c r="L62">
        <v>6.8222527856019104</v>
      </c>
      <c r="M62">
        <v>4.2574353263256404</v>
      </c>
      <c r="N62">
        <v>2.56481745927627</v>
      </c>
      <c r="O62">
        <v>0.62405124232728204</v>
      </c>
      <c r="P62">
        <v>-1.2574353263256399</v>
      </c>
      <c r="Q62">
        <v>0.43518254072372597</v>
      </c>
      <c r="R62">
        <v>1</v>
      </c>
      <c r="S62">
        <v>0</v>
      </c>
      <c r="T62">
        <v>1.87940848088207E-2</v>
      </c>
      <c r="U62">
        <v>-2.2651591889859901E-3</v>
      </c>
      <c r="V62">
        <v>7</v>
      </c>
      <c r="W62">
        <v>3</v>
      </c>
      <c r="X62">
        <v>4</v>
      </c>
      <c r="Y62">
        <v>0.42857142857142799</v>
      </c>
      <c r="Z62">
        <v>6.2094146894042703</v>
      </c>
      <c r="AA62">
        <v>3.6040916570525598</v>
      </c>
      <c r="AB62">
        <v>2.60532303235171</v>
      </c>
      <c r="AC62">
        <v>0.58042373352879295</v>
      </c>
      <c r="AD62">
        <v>-0.60409165705256296</v>
      </c>
      <c r="AE62">
        <v>1.39467696764828</v>
      </c>
      <c r="AF62">
        <v>2</v>
      </c>
      <c r="AG62">
        <v>0</v>
      </c>
      <c r="AH62">
        <v>4.0320874606521201E-2</v>
      </c>
      <c r="AI62">
        <v>5.1336708480241603E-3</v>
      </c>
      <c r="AJ62">
        <v>22</v>
      </c>
      <c r="AK62">
        <v>3</v>
      </c>
      <c r="AL62">
        <f t="shared" si="0"/>
        <v>0.5</v>
      </c>
      <c r="AM62">
        <f t="shared" si="1"/>
        <v>0.13636363636363635</v>
      </c>
    </row>
    <row r="63" spans="1:39" x14ac:dyDescent="0.2">
      <c r="A63" t="s">
        <v>103</v>
      </c>
      <c r="B63" t="s">
        <v>99</v>
      </c>
      <c r="C63" t="s">
        <v>41</v>
      </c>
      <c r="D63" t="s">
        <v>99</v>
      </c>
      <c r="E63">
        <v>-2.9971720580675401</v>
      </c>
      <c r="F63">
        <v>-1.7223341061187301</v>
      </c>
      <c r="G63">
        <v>1.2748379519488</v>
      </c>
      <c r="H63">
        <v>25</v>
      </c>
      <c r="I63">
        <v>13</v>
      </c>
      <c r="J63">
        <v>12</v>
      </c>
      <c r="K63">
        <v>0.52</v>
      </c>
      <c r="L63">
        <v>25.4419093910542</v>
      </c>
      <c r="M63">
        <v>14.082121748586401</v>
      </c>
      <c r="N63">
        <v>11.359787642467699</v>
      </c>
      <c r="O63">
        <v>0.55350097872520398</v>
      </c>
      <c r="P63">
        <v>-1.08212174858649</v>
      </c>
      <c r="Q63">
        <v>0.64021235753224603</v>
      </c>
      <c r="R63">
        <v>5</v>
      </c>
      <c r="S63">
        <v>1</v>
      </c>
      <c r="T63">
        <v>2.0208029699010501E-2</v>
      </c>
      <c r="U63">
        <v>-3.5100031060702298E-4</v>
      </c>
      <c r="V63">
        <v>27</v>
      </c>
      <c r="W63">
        <v>17</v>
      </c>
      <c r="X63">
        <v>10</v>
      </c>
      <c r="Y63">
        <v>0.62962962962962898</v>
      </c>
      <c r="Z63">
        <v>32.711092035934399</v>
      </c>
      <c r="AA63">
        <v>19.218127041992702</v>
      </c>
      <c r="AB63">
        <v>13.4929649939416</v>
      </c>
      <c r="AC63">
        <v>0.58751101983635801</v>
      </c>
      <c r="AD63">
        <v>-2.2181270419927999</v>
      </c>
      <c r="AE63">
        <v>-3.4929649939416101</v>
      </c>
      <c r="AF63">
        <v>6</v>
      </c>
      <c r="AG63">
        <v>1</v>
      </c>
      <c r="AH63">
        <v>5.6204625491296199E-2</v>
      </c>
      <c r="AI63">
        <v>-9.8128729139766394E-3</v>
      </c>
      <c r="AJ63">
        <v>59</v>
      </c>
      <c r="AK63">
        <v>16</v>
      </c>
      <c r="AL63">
        <f t="shared" si="0"/>
        <v>0.64</v>
      </c>
      <c r="AM63">
        <f t="shared" si="1"/>
        <v>0.2711864406779661</v>
      </c>
    </row>
    <row r="64" spans="1:39" x14ac:dyDescent="0.2">
      <c r="A64" t="s">
        <v>89</v>
      </c>
      <c r="B64" t="s">
        <v>90</v>
      </c>
      <c r="C64" t="s">
        <v>41</v>
      </c>
      <c r="D64" t="s">
        <v>90</v>
      </c>
      <c r="E64">
        <v>-9.7600751664680807</v>
      </c>
      <c r="F64">
        <v>-1.7692969235717699</v>
      </c>
      <c r="G64">
        <v>7.9907782428963001</v>
      </c>
      <c r="H64">
        <v>18</v>
      </c>
      <c r="I64">
        <v>13</v>
      </c>
      <c r="J64">
        <v>5</v>
      </c>
      <c r="K64">
        <v>0.72222222222222199</v>
      </c>
      <c r="L64">
        <v>45.339937149953698</v>
      </c>
      <c r="M64">
        <v>27.5546170367627</v>
      </c>
      <c r="N64">
        <v>17.785320113190899</v>
      </c>
      <c r="O64">
        <v>0.60773390456256604</v>
      </c>
      <c r="P64">
        <v>-14.5546170367627</v>
      </c>
      <c r="Q64">
        <v>-12.785320113190901</v>
      </c>
      <c r="R64">
        <v>5</v>
      </c>
      <c r="S64">
        <v>1</v>
      </c>
      <c r="T64">
        <v>2.40785646043301E-2</v>
      </c>
      <c r="U64">
        <v>-1.4519350584149601E-2</v>
      </c>
      <c r="V64">
        <v>22</v>
      </c>
      <c r="W64">
        <v>11</v>
      </c>
      <c r="X64">
        <v>11</v>
      </c>
      <c r="Y64">
        <v>0.5</v>
      </c>
      <c r="Z64">
        <v>25.028755601727301</v>
      </c>
      <c r="AA64">
        <v>8.5189886794155107</v>
      </c>
      <c r="AB64">
        <v>16.509766922311801</v>
      </c>
      <c r="AC64">
        <v>0.34036804765585599</v>
      </c>
      <c r="AD64">
        <v>2.4810113205844901</v>
      </c>
      <c r="AE64">
        <v>-5.50976692231181</v>
      </c>
      <c r="AF64">
        <v>0</v>
      </c>
      <c r="AG64">
        <v>2</v>
      </c>
      <c r="AH64">
        <v>3.2212040671463701E-2</v>
      </c>
      <c r="AI64">
        <v>-3.8980123574354399E-3</v>
      </c>
      <c r="AJ64">
        <v>130</v>
      </c>
      <c r="AK64">
        <v>16</v>
      </c>
      <c r="AL64">
        <f t="shared" si="0"/>
        <v>0.88888888888888884</v>
      </c>
      <c r="AM64">
        <f t="shared" si="1"/>
        <v>0.12307692307692308</v>
      </c>
    </row>
    <row r="65" spans="1:39" x14ac:dyDescent="0.2">
      <c r="A65" t="s">
        <v>157</v>
      </c>
      <c r="B65" t="s">
        <v>75</v>
      </c>
      <c r="C65" t="s">
        <v>41</v>
      </c>
      <c r="D65" t="s">
        <v>75</v>
      </c>
      <c r="E65">
        <v>-1.60795404526124</v>
      </c>
      <c r="F65">
        <v>-1.9233756228632699</v>
      </c>
      <c r="G65">
        <v>-0.31542157760203199</v>
      </c>
      <c r="H65">
        <v>6</v>
      </c>
      <c r="I65">
        <v>2</v>
      </c>
      <c r="J65">
        <v>4</v>
      </c>
      <c r="K65">
        <v>0.33333333333333298</v>
      </c>
      <c r="L65">
        <v>6.5695868460737996</v>
      </c>
      <c r="M65">
        <v>3.2464812344685301</v>
      </c>
      <c r="N65">
        <v>3.3231056116052602</v>
      </c>
      <c r="O65">
        <v>0.49416824992712299</v>
      </c>
      <c r="P65">
        <v>-1.2464812344685301</v>
      </c>
      <c r="Q65">
        <v>0.67689438839473703</v>
      </c>
      <c r="R65">
        <v>0</v>
      </c>
      <c r="S65">
        <v>0</v>
      </c>
      <c r="T65">
        <v>1.8299684808005E-2</v>
      </c>
      <c r="U65">
        <v>-1.58659288599945E-3</v>
      </c>
      <c r="V65">
        <v>8</v>
      </c>
      <c r="W65">
        <v>3</v>
      </c>
      <c r="X65">
        <v>5</v>
      </c>
      <c r="Y65">
        <v>0.375</v>
      </c>
      <c r="Z65">
        <v>8.4084925280691891</v>
      </c>
      <c r="AA65">
        <v>3.36195705283561</v>
      </c>
      <c r="AB65">
        <v>5.04653547523358</v>
      </c>
      <c r="AC65">
        <v>0.39982874951874398</v>
      </c>
      <c r="AD65">
        <v>-0.36195705283561502</v>
      </c>
      <c r="AE65">
        <v>-4.6535475233583E-2</v>
      </c>
      <c r="AF65">
        <v>0</v>
      </c>
      <c r="AG65">
        <v>0</v>
      </c>
      <c r="AH65">
        <v>4.6455759823586698E-2</v>
      </c>
      <c r="AI65">
        <v>-2.25686479596242E-3</v>
      </c>
      <c r="AJ65">
        <v>26</v>
      </c>
      <c r="AK65">
        <v>4</v>
      </c>
      <c r="AL65">
        <f t="shared" si="0"/>
        <v>0.66666666666666663</v>
      </c>
      <c r="AM65">
        <f t="shared" si="1"/>
        <v>0.15384615384615385</v>
      </c>
    </row>
    <row r="66" spans="1:39" x14ac:dyDescent="0.2">
      <c r="A66" t="s">
        <v>125</v>
      </c>
      <c r="B66" t="s">
        <v>51</v>
      </c>
      <c r="C66" t="s">
        <v>41</v>
      </c>
      <c r="D66" t="s">
        <v>51</v>
      </c>
      <c r="E66">
        <v>-4.6806234896937297E-2</v>
      </c>
      <c r="F66">
        <v>-1.9749732266376301</v>
      </c>
      <c r="G66">
        <v>-1.9281669917406901</v>
      </c>
      <c r="H66">
        <v>5</v>
      </c>
      <c r="I66">
        <v>2</v>
      </c>
      <c r="J66">
        <v>3</v>
      </c>
      <c r="K66">
        <v>0.4</v>
      </c>
      <c r="L66">
        <v>3.3107788224551702</v>
      </c>
      <c r="M66">
        <v>2.1428760245463998</v>
      </c>
      <c r="N66">
        <v>1.1679027979087699</v>
      </c>
      <c r="O66">
        <v>0.64724227725889305</v>
      </c>
      <c r="P66">
        <v>-0.14287602454640499</v>
      </c>
      <c r="Q66">
        <v>1.8320972020912201</v>
      </c>
      <c r="R66">
        <v>1</v>
      </c>
      <c r="S66">
        <v>0</v>
      </c>
      <c r="T66">
        <v>1.94751695438539E-2</v>
      </c>
      <c r="U66">
        <v>9.9365951620283693E-3</v>
      </c>
      <c r="V66">
        <v>3</v>
      </c>
      <c r="W66">
        <v>0</v>
      </c>
      <c r="X66">
        <v>3</v>
      </c>
      <c r="Y66">
        <v>0</v>
      </c>
      <c r="Z66">
        <v>3.7230875041009299</v>
      </c>
      <c r="AA66">
        <v>1.32562724792081</v>
      </c>
      <c r="AB66">
        <v>2.3974602561801102</v>
      </c>
      <c r="AC66">
        <v>0.35605589351865902</v>
      </c>
      <c r="AD66">
        <v>-1.32562724792081</v>
      </c>
      <c r="AE66">
        <v>0.60253974381988196</v>
      </c>
      <c r="AF66">
        <v>0</v>
      </c>
      <c r="AG66">
        <v>0</v>
      </c>
      <c r="AH66">
        <v>3.83823454031023E-2</v>
      </c>
      <c r="AI66">
        <v>-7.4545103515559997E-3</v>
      </c>
      <c r="AJ66">
        <v>8</v>
      </c>
      <c r="AK66">
        <v>2</v>
      </c>
      <c r="AL66">
        <f t="shared" si="0"/>
        <v>0.4</v>
      </c>
      <c r="AM66">
        <f t="shared" si="1"/>
        <v>0.25</v>
      </c>
    </row>
    <row r="67" spans="1:39" x14ac:dyDescent="0.2">
      <c r="A67" t="s">
        <v>158</v>
      </c>
      <c r="B67" t="s">
        <v>61</v>
      </c>
      <c r="C67" t="s">
        <v>41</v>
      </c>
      <c r="D67" t="s">
        <v>61</v>
      </c>
      <c r="E67">
        <v>0.68207334134685305</v>
      </c>
      <c r="F67">
        <v>-2.02357346252606</v>
      </c>
      <c r="G67">
        <v>-2.70564680387292</v>
      </c>
      <c r="H67">
        <v>5</v>
      </c>
      <c r="I67">
        <v>1</v>
      </c>
      <c r="J67">
        <v>4</v>
      </c>
      <c r="K67">
        <v>0.2</v>
      </c>
      <c r="L67">
        <v>5.9557216106875996</v>
      </c>
      <c r="M67">
        <v>2.4896475366068298</v>
      </c>
      <c r="N67">
        <v>3.4660740740807601</v>
      </c>
      <c r="O67">
        <v>0.41802617706964901</v>
      </c>
      <c r="P67">
        <v>-1.48964753660683</v>
      </c>
      <c r="Q67">
        <v>0.53392592591923205</v>
      </c>
      <c r="R67">
        <v>0</v>
      </c>
      <c r="S67">
        <v>0</v>
      </c>
      <c r="T67">
        <v>1.8669973701214999E-2</v>
      </c>
      <c r="U67">
        <v>-2.9959925099924799E-3</v>
      </c>
      <c r="V67">
        <v>10</v>
      </c>
      <c r="W67">
        <v>4</v>
      </c>
      <c r="X67">
        <v>6</v>
      </c>
      <c r="Y67">
        <v>0.4</v>
      </c>
      <c r="Z67">
        <v>8.3514713799734501</v>
      </c>
      <c r="AA67">
        <v>4.5285590919231797</v>
      </c>
      <c r="AB67">
        <v>3.8229122880502602</v>
      </c>
      <c r="AC67">
        <v>0.54224685518081495</v>
      </c>
      <c r="AD67">
        <v>-0.52855909192318695</v>
      </c>
      <c r="AE67">
        <v>2.1770877119497301</v>
      </c>
      <c r="AF67">
        <v>1</v>
      </c>
      <c r="AG67">
        <v>0</v>
      </c>
      <c r="AH67">
        <v>5.1552292468971903E-2</v>
      </c>
      <c r="AI67">
        <v>1.0176102592756401E-2</v>
      </c>
      <c r="AJ67">
        <v>20</v>
      </c>
      <c r="AK67">
        <v>2</v>
      </c>
      <c r="AL67">
        <f t="shared" ref="AL67:AL92" si="2">AK67/H67</f>
        <v>0.4</v>
      </c>
      <c r="AM67">
        <f t="shared" ref="AM67:AM92" si="3">AK67/AJ67</f>
        <v>0.1</v>
      </c>
    </row>
    <row r="68" spans="1:39" x14ac:dyDescent="0.2">
      <c r="A68" t="s">
        <v>91</v>
      </c>
      <c r="B68" t="s">
        <v>40</v>
      </c>
      <c r="C68" t="s">
        <v>41</v>
      </c>
      <c r="D68" t="s">
        <v>40</v>
      </c>
      <c r="E68">
        <v>3.1651106361907599</v>
      </c>
      <c r="F68">
        <v>-2.3708550279037102</v>
      </c>
      <c r="G68">
        <v>-5.5359656640944701</v>
      </c>
      <c r="H68">
        <v>9</v>
      </c>
      <c r="I68">
        <v>6</v>
      </c>
      <c r="J68">
        <v>3</v>
      </c>
      <c r="K68">
        <v>0.66666666666666596</v>
      </c>
      <c r="L68">
        <v>22.3577031695058</v>
      </c>
      <c r="M68">
        <v>13.864279098704801</v>
      </c>
      <c r="N68">
        <v>8.4934240708010798</v>
      </c>
      <c r="O68">
        <v>0.62011195844189204</v>
      </c>
      <c r="P68">
        <v>-7.8642790987047997</v>
      </c>
      <c r="Q68">
        <v>-5.4934240708010798</v>
      </c>
      <c r="R68">
        <v>2</v>
      </c>
      <c r="S68">
        <v>1</v>
      </c>
      <c r="T68">
        <v>2.28372861792705E-2</v>
      </c>
      <c r="U68">
        <v>-1.36442320423962E-2</v>
      </c>
      <c r="V68">
        <v>18</v>
      </c>
      <c r="W68">
        <v>6</v>
      </c>
      <c r="X68">
        <v>12</v>
      </c>
      <c r="Y68">
        <v>0.33333333333333298</v>
      </c>
      <c r="Z68">
        <v>18.352695007700099</v>
      </c>
      <c r="AA68">
        <v>8.9443303358973196</v>
      </c>
      <c r="AB68">
        <v>9.4083646718028398</v>
      </c>
      <c r="AC68">
        <v>0.487357869356221</v>
      </c>
      <c r="AD68">
        <v>-2.9443303358973201</v>
      </c>
      <c r="AE68">
        <v>2.59163532819715</v>
      </c>
      <c r="AF68">
        <v>1</v>
      </c>
      <c r="AG68">
        <v>0</v>
      </c>
      <c r="AH68">
        <v>4.0874599126280997E-2</v>
      </c>
      <c r="AI68">
        <v>-7.8551226659284495E-4</v>
      </c>
      <c r="AJ68">
        <v>69</v>
      </c>
      <c r="AK68">
        <v>9</v>
      </c>
      <c r="AL68">
        <f t="shared" si="2"/>
        <v>1</v>
      </c>
      <c r="AM68">
        <f t="shared" si="3"/>
        <v>0.13043478260869565</v>
      </c>
    </row>
    <row r="69" spans="1:39" x14ac:dyDescent="0.2">
      <c r="A69" t="s">
        <v>92</v>
      </c>
      <c r="B69" t="s">
        <v>93</v>
      </c>
      <c r="C69" t="s">
        <v>41</v>
      </c>
      <c r="D69" t="s">
        <v>93</v>
      </c>
      <c r="E69">
        <v>-1.1380240103734001</v>
      </c>
      <c r="F69">
        <v>-2.40088367016982</v>
      </c>
      <c r="G69">
        <v>-1.2628596597964199</v>
      </c>
      <c r="H69">
        <v>92</v>
      </c>
      <c r="I69">
        <v>53</v>
      </c>
      <c r="J69">
        <v>39</v>
      </c>
      <c r="K69">
        <v>0.57608695652173902</v>
      </c>
      <c r="L69">
        <v>65.496812537802299</v>
      </c>
      <c r="M69">
        <v>40.948848103986002</v>
      </c>
      <c r="N69">
        <v>24.547964433816201</v>
      </c>
      <c r="O69">
        <v>0.62520367812329602</v>
      </c>
      <c r="P69">
        <v>12.0511518960139</v>
      </c>
      <c r="Q69">
        <v>14.452035566183699</v>
      </c>
      <c r="R69">
        <v>13</v>
      </c>
      <c r="S69">
        <v>4</v>
      </c>
      <c r="T69">
        <v>2.534706367562E-2</v>
      </c>
      <c r="U69">
        <v>1.02566514946585E-2</v>
      </c>
      <c r="V69">
        <v>51</v>
      </c>
      <c r="W69">
        <v>21</v>
      </c>
      <c r="X69">
        <v>30</v>
      </c>
      <c r="Y69">
        <v>0.41176470588235198</v>
      </c>
      <c r="Z69">
        <v>51.389105486421002</v>
      </c>
      <c r="AA69">
        <v>21.8259825731087</v>
      </c>
      <c r="AB69">
        <v>29.563122913312299</v>
      </c>
      <c r="AC69">
        <v>0.42472003290417198</v>
      </c>
      <c r="AD69">
        <v>-0.82598257310872703</v>
      </c>
      <c r="AE69">
        <v>0.43687708668769598</v>
      </c>
      <c r="AF69">
        <v>2</v>
      </c>
      <c r="AG69">
        <v>1</v>
      </c>
      <c r="AH69">
        <v>3.9168525523186698E-2</v>
      </c>
      <c r="AI69">
        <v>-2.9657430367456002E-4</v>
      </c>
      <c r="AJ69">
        <v>206</v>
      </c>
      <c r="AK69">
        <v>64</v>
      </c>
      <c r="AL69">
        <f t="shared" si="2"/>
        <v>0.69565217391304346</v>
      </c>
      <c r="AM69">
        <f t="shared" si="3"/>
        <v>0.31067961165048541</v>
      </c>
    </row>
    <row r="70" spans="1:39" x14ac:dyDescent="0.2">
      <c r="A70" t="s">
        <v>101</v>
      </c>
      <c r="B70" t="s">
        <v>102</v>
      </c>
      <c r="C70" t="s">
        <v>41</v>
      </c>
      <c r="D70" t="s">
        <v>102</v>
      </c>
      <c r="E70">
        <v>-5.5217177435084102</v>
      </c>
      <c r="F70">
        <v>-3.2261974967929898</v>
      </c>
      <c r="G70">
        <v>2.2955202467154101</v>
      </c>
      <c r="H70">
        <v>29</v>
      </c>
      <c r="I70">
        <v>14</v>
      </c>
      <c r="J70">
        <v>15</v>
      </c>
      <c r="K70">
        <v>0.48275862068965503</v>
      </c>
      <c r="L70">
        <v>24.5721883593834</v>
      </c>
      <c r="M70">
        <v>13.399192928088199</v>
      </c>
      <c r="N70">
        <v>11.172995431295201</v>
      </c>
      <c r="O70">
        <v>0.54529912973629902</v>
      </c>
      <c r="P70">
        <v>0.60080707191178695</v>
      </c>
      <c r="Q70">
        <v>3.8270045687047798</v>
      </c>
      <c r="R70">
        <v>2</v>
      </c>
      <c r="S70">
        <v>0</v>
      </c>
      <c r="T70">
        <v>1.8829263110638601E-2</v>
      </c>
      <c r="U70">
        <v>3.3929591115835702E-3</v>
      </c>
      <c r="V70">
        <v>24</v>
      </c>
      <c r="W70">
        <v>14</v>
      </c>
      <c r="X70">
        <v>10</v>
      </c>
      <c r="Y70">
        <v>0.58333333333333304</v>
      </c>
      <c r="Z70">
        <v>26.160198678137199</v>
      </c>
      <c r="AA70">
        <v>13.932339215710901</v>
      </c>
      <c r="AB70">
        <v>12.2278594624263</v>
      </c>
      <c r="AC70">
        <v>0.53257772951680704</v>
      </c>
      <c r="AD70">
        <v>6.7660784289076098E-2</v>
      </c>
      <c r="AE70">
        <v>-2.2278594624263399</v>
      </c>
      <c r="AF70">
        <v>6</v>
      </c>
      <c r="AG70">
        <v>6</v>
      </c>
      <c r="AH70">
        <v>4.5654796995003903E-2</v>
      </c>
      <c r="AI70">
        <v>-3.7699802410772298E-3</v>
      </c>
      <c r="AJ70">
        <v>66</v>
      </c>
      <c r="AK70">
        <v>18</v>
      </c>
      <c r="AL70">
        <f t="shared" si="2"/>
        <v>0.62068965517241381</v>
      </c>
      <c r="AM70">
        <f t="shared" si="3"/>
        <v>0.27272727272727271</v>
      </c>
    </row>
    <row r="71" spans="1:39" x14ac:dyDescent="0.2">
      <c r="A71" t="s">
        <v>123</v>
      </c>
      <c r="B71" t="s">
        <v>115</v>
      </c>
      <c r="C71" t="s">
        <v>41</v>
      </c>
      <c r="D71" t="s">
        <v>115</v>
      </c>
      <c r="E71">
        <v>2.3840885612028</v>
      </c>
      <c r="F71">
        <v>-3.2520213527928798</v>
      </c>
      <c r="G71">
        <v>-5.6361099139956803</v>
      </c>
      <c r="H71">
        <v>11</v>
      </c>
      <c r="I71">
        <v>6</v>
      </c>
      <c r="J71">
        <v>5</v>
      </c>
      <c r="K71">
        <v>0.54545454545454497</v>
      </c>
      <c r="L71">
        <v>18.913152188890301</v>
      </c>
      <c r="M71">
        <v>11.582586770841599</v>
      </c>
      <c r="N71">
        <v>7.3305654180487503</v>
      </c>
      <c r="O71">
        <v>0.61240911378301399</v>
      </c>
      <c r="P71">
        <v>-5.5825867708416403</v>
      </c>
      <c r="Q71">
        <v>-2.3305654180487498</v>
      </c>
      <c r="R71">
        <v>0</v>
      </c>
      <c r="S71">
        <v>1</v>
      </c>
      <c r="T71">
        <v>2.3177882584424499E-2</v>
      </c>
      <c r="U71">
        <v>-9.6974904275617599E-3</v>
      </c>
      <c r="V71">
        <v>13</v>
      </c>
      <c r="W71">
        <v>2</v>
      </c>
      <c r="X71">
        <v>11</v>
      </c>
      <c r="Y71">
        <v>0.15384615384615299</v>
      </c>
      <c r="Z71">
        <v>11.300123510341701</v>
      </c>
      <c r="AA71">
        <v>3.9681167121687202</v>
      </c>
      <c r="AB71">
        <v>7.3320067981730297</v>
      </c>
      <c r="AC71">
        <v>0.35115693280141003</v>
      </c>
      <c r="AD71">
        <v>-1.96811671216872</v>
      </c>
      <c r="AE71">
        <v>3.6679932018269601</v>
      </c>
      <c r="AF71">
        <v>1</v>
      </c>
      <c r="AG71">
        <v>1</v>
      </c>
      <c r="AH71">
        <v>3.0295237293141399E-2</v>
      </c>
      <c r="AI71">
        <v>4.5573096237486298E-3</v>
      </c>
      <c r="AJ71">
        <v>53</v>
      </c>
      <c r="AK71">
        <v>9</v>
      </c>
      <c r="AL71">
        <f t="shared" si="2"/>
        <v>0.81818181818181823</v>
      </c>
      <c r="AM71">
        <f t="shared" si="3"/>
        <v>0.16981132075471697</v>
      </c>
    </row>
    <row r="72" spans="1:39" x14ac:dyDescent="0.2">
      <c r="A72" t="s">
        <v>138</v>
      </c>
      <c r="B72" t="s">
        <v>90</v>
      </c>
      <c r="C72" t="s">
        <v>41</v>
      </c>
      <c r="D72" t="s">
        <v>90</v>
      </c>
      <c r="E72">
        <v>-6.9144638932691098</v>
      </c>
      <c r="F72">
        <v>-3.2695306023119599</v>
      </c>
      <c r="G72">
        <v>3.6449332909571401</v>
      </c>
      <c r="H72">
        <v>18</v>
      </c>
      <c r="I72">
        <v>9</v>
      </c>
      <c r="J72">
        <v>9</v>
      </c>
      <c r="K72">
        <v>0.5</v>
      </c>
      <c r="L72">
        <v>12.5259480627501</v>
      </c>
      <c r="M72">
        <v>7.8977393325310601</v>
      </c>
      <c r="N72">
        <v>4.6282087302190904</v>
      </c>
      <c r="O72">
        <v>0.63051030492593796</v>
      </c>
      <c r="P72">
        <v>1.1022606674689299</v>
      </c>
      <c r="Q72">
        <v>4.3717912697808998</v>
      </c>
      <c r="R72">
        <v>2</v>
      </c>
      <c r="S72">
        <v>0</v>
      </c>
      <c r="T72">
        <v>1.9007508441199E-2</v>
      </c>
      <c r="U72">
        <v>8.3066038501515092E-3</v>
      </c>
      <c r="V72">
        <v>13</v>
      </c>
      <c r="W72">
        <v>7</v>
      </c>
      <c r="X72">
        <v>6</v>
      </c>
      <c r="Y72">
        <v>0.53846153846153799</v>
      </c>
      <c r="Z72">
        <v>12.786075944467701</v>
      </c>
      <c r="AA72">
        <v>5.0705713267553003</v>
      </c>
      <c r="AB72">
        <v>7.7155046177124396</v>
      </c>
      <c r="AC72">
        <v>0.39656978018726802</v>
      </c>
      <c r="AD72">
        <v>1.9294286732446899</v>
      </c>
      <c r="AE72">
        <v>-1.71550461771244</v>
      </c>
      <c r="AF72">
        <v>2</v>
      </c>
      <c r="AG72">
        <v>2</v>
      </c>
      <c r="AH72">
        <v>4.5993078936934301E-2</v>
      </c>
      <c r="AI72">
        <v>7.6951099112320504E-4</v>
      </c>
      <c r="AJ72">
        <v>43</v>
      </c>
      <c r="AK72">
        <v>11</v>
      </c>
      <c r="AL72">
        <f t="shared" si="2"/>
        <v>0.61111111111111116</v>
      </c>
      <c r="AM72">
        <f t="shared" si="3"/>
        <v>0.2558139534883721</v>
      </c>
    </row>
    <row r="73" spans="1:39" x14ac:dyDescent="0.2">
      <c r="A73" t="s">
        <v>98</v>
      </c>
      <c r="B73" t="s">
        <v>99</v>
      </c>
      <c r="C73" t="s">
        <v>41</v>
      </c>
      <c r="D73" t="s">
        <v>99</v>
      </c>
      <c r="E73">
        <v>-2.4769258376071499</v>
      </c>
      <c r="F73">
        <v>-3.45584434874457</v>
      </c>
      <c r="G73">
        <v>-0.97891851113742401</v>
      </c>
      <c r="H73">
        <v>31</v>
      </c>
      <c r="I73">
        <v>14</v>
      </c>
      <c r="J73">
        <v>17</v>
      </c>
      <c r="K73">
        <v>0.45161290322580599</v>
      </c>
      <c r="L73">
        <v>38.0898920826614</v>
      </c>
      <c r="M73">
        <v>19.272868215702999</v>
      </c>
      <c r="N73">
        <v>18.817023866958401</v>
      </c>
      <c r="O73">
        <v>0.50598379680041194</v>
      </c>
      <c r="P73">
        <v>-5.2728682157030198</v>
      </c>
      <c r="Q73">
        <v>-1.81702386695844</v>
      </c>
      <c r="R73">
        <v>3</v>
      </c>
      <c r="S73">
        <v>3</v>
      </c>
      <c r="T73">
        <v>1.9276261175435901E-2</v>
      </c>
      <c r="U73">
        <v>-3.5880020661242201E-3</v>
      </c>
      <c r="V73">
        <v>29</v>
      </c>
      <c r="W73">
        <v>18</v>
      </c>
      <c r="X73">
        <v>11</v>
      </c>
      <c r="Y73">
        <v>0.62068965517241304</v>
      </c>
      <c r="Z73">
        <v>46.626191907384403</v>
      </c>
      <c r="AA73">
        <v>27.302555209260898</v>
      </c>
      <c r="AB73">
        <v>19.323636698123401</v>
      </c>
      <c r="AC73">
        <v>0.58556262247393298</v>
      </c>
      <c r="AD73">
        <v>-9.3025552092609196</v>
      </c>
      <c r="AE73">
        <v>-8.3236366981235008</v>
      </c>
      <c r="AF73">
        <v>4</v>
      </c>
      <c r="AG73">
        <v>5</v>
      </c>
      <c r="AH73">
        <v>5.2096303807133398E-2</v>
      </c>
      <c r="AI73">
        <v>-1.96940691702619E-2</v>
      </c>
      <c r="AJ73">
        <v>103</v>
      </c>
      <c r="AK73">
        <v>17</v>
      </c>
      <c r="AL73">
        <f t="shared" si="2"/>
        <v>0.54838709677419351</v>
      </c>
      <c r="AM73">
        <f t="shared" si="3"/>
        <v>0.1650485436893204</v>
      </c>
    </row>
    <row r="74" spans="1:39" x14ac:dyDescent="0.2">
      <c r="A74" t="s">
        <v>159</v>
      </c>
      <c r="B74" t="s">
        <v>115</v>
      </c>
      <c r="C74" t="s">
        <v>41</v>
      </c>
      <c r="D74" t="s">
        <v>115</v>
      </c>
      <c r="E74">
        <v>0.68008196883248995</v>
      </c>
      <c r="F74">
        <v>-3.54060586892773</v>
      </c>
      <c r="G74">
        <v>-4.2206878377602202</v>
      </c>
      <c r="H74">
        <v>11</v>
      </c>
      <c r="I74">
        <v>4</v>
      </c>
      <c r="J74">
        <v>7</v>
      </c>
      <c r="K74">
        <v>0.36363636363636298</v>
      </c>
      <c r="L74">
        <v>14.709399193750899</v>
      </c>
      <c r="M74">
        <v>7.6250025313393399</v>
      </c>
      <c r="N74">
        <v>7.0843966624116002</v>
      </c>
      <c r="O74">
        <v>0.51837620496279002</v>
      </c>
      <c r="P74">
        <v>-3.6250025313393399</v>
      </c>
      <c r="Q74">
        <v>-8.4396662411608203E-2</v>
      </c>
      <c r="R74">
        <v>0</v>
      </c>
      <c r="S74">
        <v>0</v>
      </c>
      <c r="T74">
        <v>1.7658342369448899E-2</v>
      </c>
      <c r="U74">
        <v>-4.4530602566037903E-3</v>
      </c>
      <c r="V74">
        <v>21</v>
      </c>
      <c r="W74">
        <v>8</v>
      </c>
      <c r="X74">
        <v>13</v>
      </c>
      <c r="Y74">
        <v>0.38095238095237999</v>
      </c>
      <c r="Z74">
        <v>14.9763350513541</v>
      </c>
      <c r="AA74">
        <v>7.0985114445572002</v>
      </c>
      <c r="AB74">
        <v>7.8778236067969702</v>
      </c>
      <c r="AC74">
        <v>0.47398188009391101</v>
      </c>
      <c r="AD74">
        <v>0.90148855544280004</v>
      </c>
      <c r="AE74">
        <v>5.12217639320302</v>
      </c>
      <c r="AF74">
        <v>3</v>
      </c>
      <c r="AG74">
        <v>0</v>
      </c>
      <c r="AH74">
        <v>4.0476581219876101E-2</v>
      </c>
      <c r="AI74">
        <v>1.62801755368806E-2</v>
      </c>
      <c r="AJ74">
        <v>46</v>
      </c>
      <c r="AK74">
        <v>5</v>
      </c>
      <c r="AL74">
        <f t="shared" si="2"/>
        <v>0.45454545454545453</v>
      </c>
      <c r="AM74">
        <f t="shared" si="3"/>
        <v>0.10869565217391304</v>
      </c>
    </row>
    <row r="75" spans="1:39" x14ac:dyDescent="0.2">
      <c r="A75" t="s">
        <v>136</v>
      </c>
      <c r="B75" t="s">
        <v>135</v>
      </c>
      <c r="C75" t="s">
        <v>41</v>
      </c>
      <c r="D75" t="s">
        <v>135</v>
      </c>
      <c r="E75">
        <v>3.9993520439095098</v>
      </c>
      <c r="F75">
        <v>-3.60109964921917</v>
      </c>
      <c r="G75">
        <v>-7.6004516931286803</v>
      </c>
      <c r="H75">
        <v>63</v>
      </c>
      <c r="I75">
        <v>36</v>
      </c>
      <c r="J75">
        <v>27</v>
      </c>
      <c r="K75">
        <v>0.57142857142857095</v>
      </c>
      <c r="L75">
        <v>74.837614356847993</v>
      </c>
      <c r="M75">
        <v>43.719357003033601</v>
      </c>
      <c r="N75">
        <v>31.1182573538144</v>
      </c>
      <c r="O75">
        <v>0.58418961345516296</v>
      </c>
      <c r="P75">
        <v>-7.7193570030336396</v>
      </c>
      <c r="Q75">
        <v>-4.11825735381447</v>
      </c>
      <c r="R75">
        <v>15</v>
      </c>
      <c r="S75">
        <v>7</v>
      </c>
      <c r="T75">
        <v>2.6585298172947799E-2</v>
      </c>
      <c r="U75">
        <v>-4.2051916010117504E-3</v>
      </c>
      <c r="V75">
        <v>47</v>
      </c>
      <c r="W75">
        <v>17</v>
      </c>
      <c r="X75">
        <v>30</v>
      </c>
      <c r="Y75">
        <v>0.36170212765957399</v>
      </c>
      <c r="Z75">
        <v>47.342272650060799</v>
      </c>
      <c r="AA75">
        <v>20.971362171594699</v>
      </c>
      <c r="AB75">
        <v>26.370910478466001</v>
      </c>
      <c r="AC75">
        <v>0.442973287881814</v>
      </c>
      <c r="AD75">
        <v>-3.9713621715947598</v>
      </c>
      <c r="AE75">
        <v>3.6290895215339201</v>
      </c>
      <c r="AF75">
        <v>3</v>
      </c>
      <c r="AG75">
        <v>1</v>
      </c>
      <c r="AH75">
        <v>3.8087105913162299E-2</v>
      </c>
      <c r="AI75">
        <v>-2.7536013681483598E-4</v>
      </c>
      <c r="AJ75">
        <v>218</v>
      </c>
      <c r="AK75">
        <v>53</v>
      </c>
      <c r="AL75">
        <f t="shared" si="2"/>
        <v>0.84126984126984128</v>
      </c>
      <c r="AM75">
        <f t="shared" si="3"/>
        <v>0.24311926605504589</v>
      </c>
    </row>
    <row r="76" spans="1:39" x14ac:dyDescent="0.2">
      <c r="A76" t="s">
        <v>144</v>
      </c>
      <c r="B76" t="s">
        <v>81</v>
      </c>
      <c r="C76" t="s">
        <v>41</v>
      </c>
      <c r="D76" t="s">
        <v>81</v>
      </c>
      <c r="E76">
        <v>-8.6185659961720091</v>
      </c>
      <c r="F76">
        <v>-3.8786622141424201</v>
      </c>
      <c r="G76">
        <v>4.7399037820295797</v>
      </c>
      <c r="H76">
        <v>33</v>
      </c>
      <c r="I76">
        <v>18</v>
      </c>
      <c r="J76">
        <v>15</v>
      </c>
      <c r="K76">
        <v>0.54545454545454497</v>
      </c>
      <c r="L76">
        <v>38.580499359574098</v>
      </c>
      <c r="M76">
        <v>22.7295807868582</v>
      </c>
      <c r="N76">
        <v>15.8509185727158</v>
      </c>
      <c r="O76">
        <v>0.58914687897158302</v>
      </c>
      <c r="P76">
        <v>-4.7295807868582802</v>
      </c>
      <c r="Q76">
        <v>-0.85091857271585603</v>
      </c>
      <c r="R76">
        <v>9</v>
      </c>
      <c r="S76">
        <v>2</v>
      </c>
      <c r="T76">
        <v>1.9534430055480501E-2</v>
      </c>
      <c r="U76">
        <v>-2.8255692959869099E-3</v>
      </c>
      <c r="V76">
        <v>55</v>
      </c>
      <c r="W76">
        <v>29</v>
      </c>
      <c r="X76">
        <v>26</v>
      </c>
      <c r="Y76">
        <v>0.527272727272727</v>
      </c>
      <c r="Z76">
        <v>42.776421783938503</v>
      </c>
      <c r="AA76">
        <v>20.518259000954401</v>
      </c>
      <c r="AB76">
        <v>22.258162782984002</v>
      </c>
      <c r="AC76">
        <v>0.479662817628625</v>
      </c>
      <c r="AD76">
        <v>8.4817409990455293</v>
      </c>
      <c r="AE76">
        <v>3.7418372170159402</v>
      </c>
      <c r="AF76">
        <v>9</v>
      </c>
      <c r="AG76">
        <v>2</v>
      </c>
      <c r="AH76">
        <v>4.8171646153083898E-2</v>
      </c>
      <c r="AI76">
        <v>1.3765290783852999E-2</v>
      </c>
      <c r="AJ76">
        <v>107</v>
      </c>
      <c r="AK76">
        <v>24</v>
      </c>
      <c r="AL76">
        <f t="shared" si="2"/>
        <v>0.72727272727272729</v>
      </c>
      <c r="AM76">
        <f t="shared" si="3"/>
        <v>0.22429906542056074</v>
      </c>
    </row>
    <row r="77" spans="1:39" x14ac:dyDescent="0.2">
      <c r="A77" t="s">
        <v>130</v>
      </c>
      <c r="B77" t="s">
        <v>102</v>
      </c>
      <c r="C77" t="s">
        <v>41</v>
      </c>
      <c r="D77" t="s">
        <v>102</v>
      </c>
      <c r="E77">
        <v>-1.71864945681879</v>
      </c>
      <c r="F77">
        <v>-3.9034743226961099</v>
      </c>
      <c r="G77">
        <v>-2.1848248658773102</v>
      </c>
      <c r="H77">
        <v>60</v>
      </c>
      <c r="I77">
        <v>36</v>
      </c>
      <c r="J77">
        <v>24</v>
      </c>
      <c r="K77">
        <v>0.6</v>
      </c>
      <c r="L77">
        <v>45.7979972111983</v>
      </c>
      <c r="M77">
        <v>30.850735766947199</v>
      </c>
      <c r="N77">
        <v>14.947261444251099</v>
      </c>
      <c r="O77">
        <v>0.67362630782037103</v>
      </c>
      <c r="P77">
        <v>5.1492642330527598</v>
      </c>
      <c r="Q77">
        <v>9.0527385557488795</v>
      </c>
      <c r="R77">
        <v>6</v>
      </c>
      <c r="S77">
        <v>2</v>
      </c>
      <c r="T77">
        <v>2.4015730053066699E-2</v>
      </c>
      <c r="U77">
        <v>7.4473008855802996E-3</v>
      </c>
      <c r="V77">
        <v>46</v>
      </c>
      <c r="W77">
        <v>21</v>
      </c>
      <c r="X77">
        <v>25</v>
      </c>
      <c r="Y77">
        <v>0.45652173913043398</v>
      </c>
      <c r="Z77">
        <v>37.6450323471228</v>
      </c>
      <c r="AA77">
        <v>17.914928606499998</v>
      </c>
      <c r="AB77">
        <v>19.730103740622699</v>
      </c>
      <c r="AC77">
        <v>0.47589090749896101</v>
      </c>
      <c r="AD77">
        <v>3.0850713934999301</v>
      </c>
      <c r="AE77">
        <v>5.2698962593772398</v>
      </c>
      <c r="AF77">
        <v>8</v>
      </c>
      <c r="AG77">
        <v>5</v>
      </c>
      <c r="AH77">
        <v>4.1097196885505199E-2</v>
      </c>
      <c r="AI77">
        <v>9.1211437258484195E-3</v>
      </c>
      <c r="AJ77">
        <v>121</v>
      </c>
      <c r="AK77">
        <v>40</v>
      </c>
      <c r="AL77">
        <f t="shared" si="2"/>
        <v>0.66666666666666663</v>
      </c>
      <c r="AM77">
        <f t="shared" si="3"/>
        <v>0.33057851239669422</v>
      </c>
    </row>
    <row r="78" spans="1:39" x14ac:dyDescent="0.2">
      <c r="A78" t="s">
        <v>129</v>
      </c>
      <c r="B78" t="s">
        <v>43</v>
      </c>
      <c r="C78" t="s">
        <v>41</v>
      </c>
      <c r="D78" t="s">
        <v>43</v>
      </c>
      <c r="E78">
        <v>-0.62795433195879102</v>
      </c>
      <c r="F78">
        <v>-4.1054274136423698</v>
      </c>
      <c r="G78">
        <v>-3.4774730816835699</v>
      </c>
      <c r="H78">
        <v>36</v>
      </c>
      <c r="I78">
        <v>20</v>
      </c>
      <c r="J78">
        <v>16</v>
      </c>
      <c r="K78">
        <v>0.55555555555555503</v>
      </c>
      <c r="L78">
        <v>28.627332183001499</v>
      </c>
      <c r="M78">
        <v>18.366379798321901</v>
      </c>
      <c r="N78">
        <v>10.2609523846795</v>
      </c>
      <c r="O78">
        <v>0.641567984082974</v>
      </c>
      <c r="P78">
        <v>1.6336202016780299</v>
      </c>
      <c r="Q78">
        <v>5.7390476153204002</v>
      </c>
      <c r="R78">
        <v>8</v>
      </c>
      <c r="S78">
        <v>4</v>
      </c>
      <c r="T78">
        <v>2.3180026059110501E-2</v>
      </c>
      <c r="U78">
        <v>5.9697715117396103E-3</v>
      </c>
      <c r="V78">
        <v>28</v>
      </c>
      <c r="W78">
        <v>12</v>
      </c>
      <c r="X78">
        <v>16</v>
      </c>
      <c r="Y78">
        <v>0.42857142857142799</v>
      </c>
      <c r="Z78">
        <v>22.448210648940499</v>
      </c>
      <c r="AA78">
        <v>10.962841865312001</v>
      </c>
      <c r="AB78">
        <v>11.485368783628401</v>
      </c>
      <c r="AC78">
        <v>0.48836150180323801</v>
      </c>
      <c r="AD78">
        <v>1.0371581346879499</v>
      </c>
      <c r="AE78">
        <v>4.5146312163715301</v>
      </c>
      <c r="AF78">
        <v>3</v>
      </c>
      <c r="AG78">
        <v>2</v>
      </c>
      <c r="AH78">
        <v>4.2355114431963201E-2</v>
      </c>
      <c r="AI78">
        <v>1.0475074247282E-2</v>
      </c>
      <c r="AJ78">
        <v>91</v>
      </c>
      <c r="AK78">
        <v>23</v>
      </c>
      <c r="AL78">
        <f t="shared" si="2"/>
        <v>0.63888888888888884</v>
      </c>
      <c r="AM78">
        <f t="shared" si="3"/>
        <v>0.25274725274725274</v>
      </c>
    </row>
    <row r="79" spans="1:39" x14ac:dyDescent="0.2">
      <c r="A79" t="s">
        <v>134</v>
      </c>
      <c r="B79" t="s">
        <v>61</v>
      </c>
      <c r="C79" t="s">
        <v>41</v>
      </c>
      <c r="D79" t="s">
        <v>61</v>
      </c>
      <c r="E79">
        <v>-5.5987634852407897</v>
      </c>
      <c r="F79">
        <v>-4.3351538322031198</v>
      </c>
      <c r="G79">
        <v>1.2636096530376699</v>
      </c>
      <c r="H79">
        <v>29</v>
      </c>
      <c r="I79">
        <v>16</v>
      </c>
      <c r="J79">
        <v>13</v>
      </c>
      <c r="K79">
        <v>0.55172413793103403</v>
      </c>
      <c r="L79">
        <v>21.430064637912601</v>
      </c>
      <c r="M79">
        <v>14.382609235057799</v>
      </c>
      <c r="N79">
        <v>7.04745540285474</v>
      </c>
      <c r="O79">
        <v>0.67114166373596096</v>
      </c>
      <c r="P79">
        <v>1.61739076494213</v>
      </c>
      <c r="Q79">
        <v>5.9525445971452502</v>
      </c>
      <c r="R79">
        <v>4</v>
      </c>
      <c r="S79">
        <v>1</v>
      </c>
      <c r="T79">
        <v>2.68547175913691E-2</v>
      </c>
      <c r="U79">
        <v>9.4861345389566191E-3</v>
      </c>
      <c r="V79">
        <v>14</v>
      </c>
      <c r="W79">
        <v>8</v>
      </c>
      <c r="X79">
        <v>6</v>
      </c>
      <c r="Y79">
        <v>0.57142857142857095</v>
      </c>
      <c r="Z79">
        <v>13.742210397098299</v>
      </c>
      <c r="AA79">
        <v>7.2393003720303204</v>
      </c>
      <c r="AB79">
        <v>6.5029100250679903</v>
      </c>
      <c r="AC79">
        <v>0.526793009482587</v>
      </c>
      <c r="AD79">
        <v>0.76069962796967405</v>
      </c>
      <c r="AE79">
        <v>-0.50291002506799998</v>
      </c>
      <c r="AF79">
        <v>3</v>
      </c>
      <c r="AG79">
        <v>1</v>
      </c>
      <c r="AH79">
        <v>4.0299737234892399E-2</v>
      </c>
      <c r="AI79">
        <v>7.5598124018086703E-4</v>
      </c>
      <c r="AJ79">
        <v>57</v>
      </c>
      <c r="AK79">
        <v>19</v>
      </c>
      <c r="AL79">
        <f t="shared" si="2"/>
        <v>0.65517241379310343</v>
      </c>
      <c r="AM79">
        <f t="shared" si="3"/>
        <v>0.33333333333333331</v>
      </c>
    </row>
    <row r="80" spans="1:39" x14ac:dyDescent="0.2">
      <c r="A80" t="s">
        <v>94</v>
      </c>
      <c r="B80" t="s">
        <v>66</v>
      </c>
      <c r="C80" t="s">
        <v>41</v>
      </c>
      <c r="D80" t="s">
        <v>66</v>
      </c>
      <c r="E80">
        <v>-5.3180193728168303</v>
      </c>
      <c r="F80">
        <v>-5.0266387263779198</v>
      </c>
      <c r="G80">
        <v>0.29138064643891498</v>
      </c>
      <c r="H80">
        <v>19</v>
      </c>
      <c r="I80">
        <v>10</v>
      </c>
      <c r="J80">
        <v>9</v>
      </c>
      <c r="K80">
        <v>0.52631578947368396</v>
      </c>
      <c r="L80">
        <v>18.924811975388899</v>
      </c>
      <c r="M80">
        <v>12.475725350883399</v>
      </c>
      <c r="N80">
        <v>6.4490866245055196</v>
      </c>
      <c r="O80">
        <v>0.659225854772437</v>
      </c>
      <c r="P80">
        <v>-2.4757253508834398</v>
      </c>
      <c r="Q80">
        <v>2.5509133754944702</v>
      </c>
      <c r="R80">
        <v>2</v>
      </c>
      <c r="S80">
        <v>1</v>
      </c>
      <c r="T80">
        <v>2.16283565433016E-2</v>
      </c>
      <c r="U80">
        <v>8.5929170984034694E-5</v>
      </c>
      <c r="V80">
        <v>18</v>
      </c>
      <c r="W80">
        <v>10</v>
      </c>
      <c r="X80">
        <v>8</v>
      </c>
      <c r="Y80">
        <v>0.55555555555555503</v>
      </c>
      <c r="Z80">
        <v>19.250153851922299</v>
      </c>
      <c r="AA80">
        <v>10.4793866027417</v>
      </c>
      <c r="AB80">
        <v>8.7707672491806203</v>
      </c>
      <c r="AC80">
        <v>0.54437936877555004</v>
      </c>
      <c r="AD80">
        <v>-0.47938660274171102</v>
      </c>
      <c r="AE80">
        <v>-0.770767249180626</v>
      </c>
      <c r="AF80">
        <v>3</v>
      </c>
      <c r="AG80">
        <v>2</v>
      </c>
      <c r="AH80">
        <v>5.24527352913415E-2</v>
      </c>
      <c r="AI80">
        <v>-3.40641376545595E-3</v>
      </c>
      <c r="AJ80">
        <v>59</v>
      </c>
      <c r="AK80">
        <v>12</v>
      </c>
      <c r="AL80">
        <f t="shared" si="2"/>
        <v>0.63157894736842102</v>
      </c>
      <c r="AM80">
        <f t="shared" si="3"/>
        <v>0.20338983050847459</v>
      </c>
    </row>
    <row r="81" spans="1:39" x14ac:dyDescent="0.2">
      <c r="A81" t="s">
        <v>160</v>
      </c>
      <c r="B81" t="s">
        <v>55</v>
      </c>
      <c r="C81" t="s">
        <v>41</v>
      </c>
      <c r="D81" t="s">
        <v>55</v>
      </c>
      <c r="E81">
        <v>-5.2141572668169598</v>
      </c>
      <c r="F81">
        <v>-5.3059407655125304</v>
      </c>
      <c r="G81">
        <v>-9.17834986955781E-2</v>
      </c>
      <c r="H81">
        <v>20</v>
      </c>
      <c r="I81">
        <v>10</v>
      </c>
      <c r="J81">
        <v>10</v>
      </c>
      <c r="K81">
        <v>0.5</v>
      </c>
      <c r="L81">
        <v>14.6576248892663</v>
      </c>
      <c r="M81">
        <v>9.9817828273894502</v>
      </c>
      <c r="N81">
        <v>4.6758420618769199</v>
      </c>
      <c r="O81">
        <v>0.68099592551989796</v>
      </c>
      <c r="P81">
        <v>1.8217172610541399E-2</v>
      </c>
      <c r="Q81">
        <v>5.3241579381230704</v>
      </c>
      <c r="R81">
        <v>3</v>
      </c>
      <c r="S81">
        <v>2</v>
      </c>
      <c r="T81">
        <v>2.6698770290102699E-2</v>
      </c>
      <c r="U81">
        <v>9.73110220534356E-3</v>
      </c>
      <c r="V81">
        <v>6</v>
      </c>
      <c r="W81">
        <v>1</v>
      </c>
      <c r="X81">
        <v>5</v>
      </c>
      <c r="Y81">
        <v>0.16666666666666599</v>
      </c>
      <c r="Z81">
        <v>11.3706393980742</v>
      </c>
      <c r="AA81">
        <v>3.7312114483848902</v>
      </c>
      <c r="AB81">
        <v>7.6394279496893196</v>
      </c>
      <c r="AC81">
        <v>0.328144382893439</v>
      </c>
      <c r="AD81">
        <v>-2.7312114483848999</v>
      </c>
      <c r="AE81">
        <v>-2.63942794968932</v>
      </c>
      <c r="AF81">
        <v>1</v>
      </c>
      <c r="AG81">
        <v>1</v>
      </c>
      <c r="AH81">
        <v>4.3070603780584103E-2</v>
      </c>
      <c r="AI81">
        <v>-2.03433310533114E-2</v>
      </c>
      <c r="AJ81">
        <v>41</v>
      </c>
      <c r="AK81">
        <v>10</v>
      </c>
      <c r="AL81">
        <f t="shared" si="2"/>
        <v>0.5</v>
      </c>
      <c r="AM81">
        <f t="shared" si="3"/>
        <v>0.24390243902439024</v>
      </c>
    </row>
    <row r="82" spans="1:39" x14ac:dyDescent="0.2">
      <c r="A82" t="s">
        <v>127</v>
      </c>
      <c r="B82" t="s">
        <v>75</v>
      </c>
      <c r="C82" t="s">
        <v>41</v>
      </c>
      <c r="D82" t="s">
        <v>75</v>
      </c>
      <c r="E82">
        <v>-10.4673978140716</v>
      </c>
      <c r="F82">
        <v>-5.6922979439112797</v>
      </c>
      <c r="G82">
        <v>4.7750998701603198</v>
      </c>
      <c r="H82">
        <v>51</v>
      </c>
      <c r="I82">
        <v>24</v>
      </c>
      <c r="J82">
        <v>27</v>
      </c>
      <c r="K82">
        <v>0.47058823529411697</v>
      </c>
      <c r="L82">
        <v>43.273138142404697</v>
      </c>
      <c r="M82">
        <v>22.982718043157899</v>
      </c>
      <c r="N82">
        <v>20.290420099246699</v>
      </c>
      <c r="O82">
        <v>0.53110818927727599</v>
      </c>
      <c r="P82">
        <v>1.017281956842</v>
      </c>
      <c r="Q82">
        <v>6.7095799007532904</v>
      </c>
      <c r="R82">
        <v>6</v>
      </c>
      <c r="S82">
        <v>2</v>
      </c>
      <c r="T82">
        <v>1.9037896235109798E-2</v>
      </c>
      <c r="U82">
        <v>3.3994112879873698E-3</v>
      </c>
      <c r="V82">
        <v>53</v>
      </c>
      <c r="W82">
        <v>31</v>
      </c>
      <c r="X82">
        <v>22</v>
      </c>
      <c r="Y82">
        <v>0.58490566037735803</v>
      </c>
      <c r="Z82">
        <v>44.686979231825198</v>
      </c>
      <c r="AA82">
        <v>24.455939680832401</v>
      </c>
      <c r="AB82">
        <v>20.231039550992701</v>
      </c>
      <c r="AC82">
        <v>0.54727216073301699</v>
      </c>
      <c r="AD82">
        <v>6.5440603191675297</v>
      </c>
      <c r="AE82">
        <v>1.7689604490072</v>
      </c>
      <c r="AF82">
        <v>6</v>
      </c>
      <c r="AG82">
        <v>3</v>
      </c>
      <c r="AH82">
        <v>4.5974258468956003E-2</v>
      </c>
      <c r="AI82">
        <v>8.5524905022373691E-3</v>
      </c>
      <c r="AJ82">
        <v>132</v>
      </c>
      <c r="AK82">
        <v>38</v>
      </c>
      <c r="AL82">
        <f t="shared" si="2"/>
        <v>0.74509803921568629</v>
      </c>
      <c r="AM82">
        <f t="shared" si="3"/>
        <v>0.2878787878787879</v>
      </c>
    </row>
    <row r="83" spans="1:39" x14ac:dyDescent="0.2">
      <c r="A83" t="s">
        <v>114</v>
      </c>
      <c r="B83" t="s">
        <v>115</v>
      </c>
      <c r="C83" t="s">
        <v>41</v>
      </c>
      <c r="D83" t="s">
        <v>115</v>
      </c>
      <c r="E83">
        <v>-6.2914886225615296</v>
      </c>
      <c r="F83">
        <v>-5.8063949207745198</v>
      </c>
      <c r="G83">
        <v>0.485093701787008</v>
      </c>
      <c r="H83">
        <v>31</v>
      </c>
      <c r="I83">
        <v>17</v>
      </c>
      <c r="J83">
        <v>14</v>
      </c>
      <c r="K83">
        <v>0.54838709677419295</v>
      </c>
      <c r="L83">
        <v>40.3689583226517</v>
      </c>
      <c r="M83">
        <v>24.587676621713101</v>
      </c>
      <c r="N83">
        <v>15.781281700938599</v>
      </c>
      <c r="O83">
        <v>0.60907384394698505</v>
      </c>
      <c r="P83">
        <v>-7.5876766217131397</v>
      </c>
      <c r="Q83">
        <v>-1.7812817009386099</v>
      </c>
      <c r="R83">
        <v>6</v>
      </c>
      <c r="S83">
        <v>2</v>
      </c>
      <c r="T83">
        <v>2.0512682074518101E-2</v>
      </c>
      <c r="U83">
        <v>-4.7606495541929698E-3</v>
      </c>
      <c r="V83">
        <v>33</v>
      </c>
      <c r="W83">
        <v>10</v>
      </c>
      <c r="X83">
        <v>23</v>
      </c>
      <c r="Y83">
        <v>0.30303030303030298</v>
      </c>
      <c r="Z83">
        <v>37.814098346142302</v>
      </c>
      <c r="AA83">
        <v>12.164502322177601</v>
      </c>
      <c r="AB83">
        <v>25.649596023964602</v>
      </c>
      <c r="AC83">
        <v>0.32169224850547401</v>
      </c>
      <c r="AD83">
        <v>-2.16450232217765</v>
      </c>
      <c r="AE83">
        <v>-2.6495960239646599</v>
      </c>
      <c r="AF83">
        <v>2</v>
      </c>
      <c r="AG83">
        <v>0</v>
      </c>
      <c r="AH83">
        <v>4.0747950804032602E-2</v>
      </c>
      <c r="AI83">
        <v>-5.1876059764464503E-3</v>
      </c>
      <c r="AJ83">
        <v>122</v>
      </c>
      <c r="AK83">
        <v>20</v>
      </c>
      <c r="AL83">
        <f t="shared" si="2"/>
        <v>0.64516129032258063</v>
      </c>
      <c r="AM83">
        <f t="shared" si="3"/>
        <v>0.16393442622950818</v>
      </c>
    </row>
    <row r="84" spans="1:39" x14ac:dyDescent="0.2">
      <c r="A84" t="s">
        <v>85</v>
      </c>
      <c r="B84" t="s">
        <v>86</v>
      </c>
      <c r="C84" t="s">
        <v>41</v>
      </c>
      <c r="D84" t="s">
        <v>86</v>
      </c>
      <c r="E84">
        <v>-5.2443819216598397</v>
      </c>
      <c r="F84">
        <v>-5.83774799224767</v>
      </c>
      <c r="G84">
        <v>-0.59336607058782498</v>
      </c>
      <c r="H84">
        <v>33</v>
      </c>
      <c r="I84">
        <v>17</v>
      </c>
      <c r="J84">
        <v>16</v>
      </c>
      <c r="K84">
        <v>0.51515151515151503</v>
      </c>
      <c r="L84">
        <v>29.657053819329299</v>
      </c>
      <c r="M84">
        <v>18.247400905788499</v>
      </c>
      <c r="N84">
        <v>11.4096529135408</v>
      </c>
      <c r="O84">
        <v>0.61528029779868199</v>
      </c>
      <c r="P84">
        <v>-1.2474009057885</v>
      </c>
      <c r="Q84">
        <v>4.5903470864591602</v>
      </c>
      <c r="R84">
        <v>7</v>
      </c>
      <c r="S84">
        <v>2</v>
      </c>
      <c r="T84">
        <v>2.0368855645143701E-2</v>
      </c>
      <c r="U84">
        <v>2.2959795196913798E-3</v>
      </c>
      <c r="V84">
        <v>47</v>
      </c>
      <c r="W84">
        <v>22</v>
      </c>
      <c r="X84">
        <v>25</v>
      </c>
      <c r="Y84">
        <v>0.46808510638297801</v>
      </c>
      <c r="Z84">
        <v>32.923571023928702</v>
      </c>
      <c r="AA84">
        <v>15.2584685472583</v>
      </c>
      <c r="AB84">
        <v>17.665102476670398</v>
      </c>
      <c r="AC84">
        <v>0.46345120145589502</v>
      </c>
      <c r="AD84">
        <v>6.7415314527416799</v>
      </c>
      <c r="AE84">
        <v>7.3348975233295102</v>
      </c>
      <c r="AF84">
        <v>6</v>
      </c>
      <c r="AG84">
        <v>3</v>
      </c>
      <c r="AH84">
        <v>4.6046952481019199E-2</v>
      </c>
      <c r="AI84">
        <v>1.9687313253246401E-2</v>
      </c>
      <c r="AJ84">
        <v>81</v>
      </c>
      <c r="AK84">
        <v>22</v>
      </c>
      <c r="AL84">
        <f t="shared" si="2"/>
        <v>0.66666666666666663</v>
      </c>
      <c r="AM84">
        <f t="shared" si="3"/>
        <v>0.27160493827160492</v>
      </c>
    </row>
    <row r="85" spans="1:39" x14ac:dyDescent="0.2">
      <c r="A85" t="s">
        <v>128</v>
      </c>
      <c r="B85" t="s">
        <v>121</v>
      </c>
      <c r="C85" t="s">
        <v>41</v>
      </c>
      <c r="D85" t="s">
        <v>121</v>
      </c>
      <c r="E85">
        <v>-11.069615441556801</v>
      </c>
      <c r="F85">
        <v>-6.1995809255283199</v>
      </c>
      <c r="G85">
        <v>4.8700345160285297</v>
      </c>
      <c r="H85">
        <v>41</v>
      </c>
      <c r="I85">
        <v>21</v>
      </c>
      <c r="J85">
        <v>20</v>
      </c>
      <c r="K85">
        <v>0.51219512195121897</v>
      </c>
      <c r="L85">
        <v>45.773616812685098</v>
      </c>
      <c r="M85">
        <v>26.4865988691067</v>
      </c>
      <c r="N85">
        <v>19.287017943578299</v>
      </c>
      <c r="O85">
        <v>0.57864334770606396</v>
      </c>
      <c r="P85">
        <v>-5.4865988691067198</v>
      </c>
      <c r="Q85">
        <v>0.71298205642160195</v>
      </c>
      <c r="R85">
        <v>4</v>
      </c>
      <c r="S85">
        <v>1</v>
      </c>
      <c r="T85">
        <v>2.1329737564158902E-2</v>
      </c>
      <c r="U85">
        <v>-2.2244253553984701E-3</v>
      </c>
      <c r="V85">
        <v>47</v>
      </c>
      <c r="W85">
        <v>25</v>
      </c>
      <c r="X85">
        <v>22</v>
      </c>
      <c r="Y85">
        <v>0.53191489361702105</v>
      </c>
      <c r="Z85">
        <v>50.738220206228398</v>
      </c>
      <c r="AA85">
        <v>24.434092845099901</v>
      </c>
      <c r="AB85">
        <v>26.304127361128401</v>
      </c>
      <c r="AC85">
        <v>0.481571737159603</v>
      </c>
      <c r="AD85">
        <v>0.56590715490006904</v>
      </c>
      <c r="AE85">
        <v>-4.3041273611284598</v>
      </c>
      <c r="AF85">
        <v>7</v>
      </c>
      <c r="AG85">
        <v>2</v>
      </c>
      <c r="AH85">
        <v>4.8833705684531603E-2</v>
      </c>
      <c r="AI85">
        <v>-3.5979020271688302E-3</v>
      </c>
      <c r="AJ85">
        <v>149</v>
      </c>
      <c r="AK85">
        <v>25</v>
      </c>
      <c r="AL85">
        <f t="shared" si="2"/>
        <v>0.6097560975609756</v>
      </c>
      <c r="AM85">
        <f t="shared" si="3"/>
        <v>0.16778523489932887</v>
      </c>
    </row>
    <row r="86" spans="1:39" x14ac:dyDescent="0.2">
      <c r="A86" t="s">
        <v>95</v>
      </c>
      <c r="B86" t="s">
        <v>73</v>
      </c>
      <c r="C86" t="s">
        <v>41</v>
      </c>
      <c r="D86" t="s">
        <v>73</v>
      </c>
      <c r="E86">
        <v>-5.9329023396394396</v>
      </c>
      <c r="F86">
        <v>-6.9914413290253803</v>
      </c>
      <c r="G86">
        <v>-1.0585389893859301</v>
      </c>
      <c r="H86">
        <v>41</v>
      </c>
      <c r="I86">
        <v>23</v>
      </c>
      <c r="J86">
        <v>18</v>
      </c>
      <c r="K86">
        <v>0.56097560975609695</v>
      </c>
      <c r="L86">
        <v>47.266193664998802</v>
      </c>
      <c r="M86">
        <v>29.628817497012101</v>
      </c>
      <c r="N86">
        <v>17.637376167986702</v>
      </c>
      <c r="O86">
        <v>0.62685008458704405</v>
      </c>
      <c r="P86">
        <v>-6.6288174970121103</v>
      </c>
      <c r="Q86">
        <v>0.36262383201326998</v>
      </c>
      <c r="R86">
        <v>12</v>
      </c>
      <c r="S86">
        <v>1</v>
      </c>
      <c r="T86">
        <v>2.3045438159433801E-2</v>
      </c>
      <c r="U86">
        <v>-3.0551895002432E-3</v>
      </c>
      <c r="V86">
        <v>48</v>
      </c>
      <c r="W86">
        <v>24</v>
      </c>
      <c r="X86">
        <v>24</v>
      </c>
      <c r="Y86">
        <v>0.5</v>
      </c>
      <c r="Z86">
        <v>40.419070502217103</v>
      </c>
      <c r="AA86">
        <v>20.738804745801499</v>
      </c>
      <c r="AB86">
        <v>19.680265756415601</v>
      </c>
      <c r="AC86">
        <v>0.513094548887855</v>
      </c>
      <c r="AD86">
        <v>3.2611952541984399</v>
      </c>
      <c r="AE86">
        <v>4.3197342435843797</v>
      </c>
      <c r="AF86">
        <v>5</v>
      </c>
      <c r="AG86">
        <v>4</v>
      </c>
      <c r="AH86">
        <v>4.7607856893070802E-2</v>
      </c>
      <c r="AI86">
        <v>8.9292455804273405E-3</v>
      </c>
      <c r="AJ86">
        <v>124</v>
      </c>
      <c r="AK86">
        <v>30</v>
      </c>
      <c r="AL86">
        <f t="shared" si="2"/>
        <v>0.73170731707317072</v>
      </c>
      <c r="AM86">
        <f t="shared" si="3"/>
        <v>0.24193548387096775</v>
      </c>
    </row>
    <row r="87" spans="1:39" x14ac:dyDescent="0.2">
      <c r="A87" t="s">
        <v>139</v>
      </c>
      <c r="B87" t="s">
        <v>63</v>
      </c>
      <c r="C87" t="s">
        <v>41</v>
      </c>
      <c r="D87" t="s">
        <v>63</v>
      </c>
      <c r="E87">
        <v>-8.4542960858579193</v>
      </c>
      <c r="F87">
        <v>-8.0535432678277807</v>
      </c>
      <c r="G87">
        <v>0.40075281803013701</v>
      </c>
      <c r="H87">
        <v>22</v>
      </c>
      <c r="I87">
        <v>7</v>
      </c>
      <c r="J87">
        <v>15</v>
      </c>
      <c r="K87">
        <v>0.31818181818181801</v>
      </c>
      <c r="L87">
        <v>14.6151482857295</v>
      </c>
      <c r="M87">
        <v>7.3343457767786804</v>
      </c>
      <c r="N87">
        <v>7.2808025089508899</v>
      </c>
      <c r="O87">
        <v>0.501831772992685</v>
      </c>
      <c r="P87">
        <v>-0.33434577677868399</v>
      </c>
      <c r="Q87">
        <v>7.7191974910491004</v>
      </c>
      <c r="R87">
        <v>2</v>
      </c>
      <c r="S87">
        <v>1</v>
      </c>
      <c r="T87">
        <v>1.7587422726509701E-2</v>
      </c>
      <c r="U87">
        <v>8.8867048306503198E-3</v>
      </c>
      <c r="V87">
        <v>19</v>
      </c>
      <c r="W87">
        <v>9</v>
      </c>
      <c r="X87">
        <v>10</v>
      </c>
      <c r="Y87">
        <v>0.47368421052631499</v>
      </c>
      <c r="Z87">
        <v>15.951428501947699</v>
      </c>
      <c r="AA87">
        <v>7.2753378419588097</v>
      </c>
      <c r="AB87">
        <v>8.6760906599889491</v>
      </c>
      <c r="AC87">
        <v>0.45609318570248703</v>
      </c>
      <c r="AD87">
        <v>1.7246621580411801</v>
      </c>
      <c r="AE87">
        <v>1.32390934001105</v>
      </c>
      <c r="AF87">
        <v>2</v>
      </c>
      <c r="AG87">
        <v>0</v>
      </c>
      <c r="AH87">
        <v>4.5706098859449103E-2</v>
      </c>
      <c r="AI87">
        <v>8.7351618855365104E-3</v>
      </c>
      <c r="AJ87">
        <v>47</v>
      </c>
      <c r="AK87">
        <v>11</v>
      </c>
      <c r="AL87">
        <f t="shared" si="2"/>
        <v>0.5</v>
      </c>
      <c r="AM87">
        <f t="shared" si="3"/>
        <v>0.23404255319148937</v>
      </c>
    </row>
    <row r="88" spans="1:39" x14ac:dyDescent="0.2">
      <c r="A88" t="s">
        <v>140</v>
      </c>
      <c r="B88" t="s">
        <v>119</v>
      </c>
      <c r="C88" t="s">
        <v>41</v>
      </c>
      <c r="D88" t="s">
        <v>119</v>
      </c>
      <c r="E88">
        <v>-4.8834014830574803</v>
      </c>
      <c r="F88">
        <v>-9.5635237392482999</v>
      </c>
      <c r="G88">
        <v>-4.6801222561908098</v>
      </c>
      <c r="H88">
        <v>33</v>
      </c>
      <c r="I88">
        <v>17</v>
      </c>
      <c r="J88">
        <v>16</v>
      </c>
      <c r="K88">
        <v>0.51515151515151503</v>
      </c>
      <c r="L88">
        <v>36.705674555488002</v>
      </c>
      <c r="M88">
        <v>23.6345991473681</v>
      </c>
      <c r="N88">
        <v>13.0710754081198</v>
      </c>
      <c r="O88">
        <v>0.643894968110167</v>
      </c>
      <c r="P88">
        <v>-6.6345991473681902</v>
      </c>
      <c r="Q88">
        <v>2.9289245918801101</v>
      </c>
      <c r="R88">
        <v>6</v>
      </c>
      <c r="S88">
        <v>4</v>
      </c>
      <c r="T88">
        <v>2.2299923788267301E-2</v>
      </c>
      <c r="U88">
        <v>-2.25132111512034E-3</v>
      </c>
      <c r="V88">
        <v>21</v>
      </c>
      <c r="W88">
        <v>7</v>
      </c>
      <c r="X88">
        <v>14</v>
      </c>
      <c r="Y88">
        <v>0.33333333333333298</v>
      </c>
      <c r="Z88">
        <v>33.4087667719309</v>
      </c>
      <c r="AA88">
        <v>15.5444445140608</v>
      </c>
      <c r="AB88">
        <v>17.86432225787</v>
      </c>
      <c r="AC88">
        <v>0.46528040439735302</v>
      </c>
      <c r="AD88">
        <v>-8.54444451406086</v>
      </c>
      <c r="AE88">
        <v>-3.86432225787004</v>
      </c>
      <c r="AF88">
        <v>3</v>
      </c>
      <c r="AG88">
        <v>0</v>
      </c>
      <c r="AH88">
        <v>4.3331733815733901E-2</v>
      </c>
      <c r="AI88">
        <v>-1.6094379730130799E-2</v>
      </c>
      <c r="AJ88">
        <v>99</v>
      </c>
      <c r="AK88">
        <v>22</v>
      </c>
      <c r="AL88">
        <f t="shared" si="2"/>
        <v>0.66666666666666663</v>
      </c>
      <c r="AM88">
        <f t="shared" si="3"/>
        <v>0.22222222222222221</v>
      </c>
    </row>
    <row r="89" spans="1:39" x14ac:dyDescent="0.2">
      <c r="A89" t="s">
        <v>141</v>
      </c>
      <c r="B89" t="s">
        <v>47</v>
      </c>
      <c r="C89" t="s">
        <v>41</v>
      </c>
      <c r="D89" t="s">
        <v>47</v>
      </c>
      <c r="E89">
        <v>-8.0506250909389507</v>
      </c>
      <c r="F89">
        <v>-10.5244415581765</v>
      </c>
      <c r="G89">
        <v>-2.4738164672376</v>
      </c>
      <c r="H89">
        <v>37</v>
      </c>
      <c r="I89">
        <v>18</v>
      </c>
      <c r="J89">
        <v>19</v>
      </c>
      <c r="K89">
        <v>0.48648648648648601</v>
      </c>
      <c r="L89">
        <v>42.868678016839802</v>
      </c>
      <c r="M89">
        <v>26.1965597875082</v>
      </c>
      <c r="N89">
        <v>16.672118229331598</v>
      </c>
      <c r="O89">
        <v>0.61108858493881102</v>
      </c>
      <c r="P89">
        <v>-8.1965597875082299</v>
      </c>
      <c r="Q89">
        <v>2.3278817706683199</v>
      </c>
      <c r="R89">
        <v>3</v>
      </c>
      <c r="S89">
        <v>2</v>
      </c>
      <c r="T89">
        <v>2.3895584178840499E-2</v>
      </c>
      <c r="U89">
        <v>-3.27128094584163E-3</v>
      </c>
      <c r="V89">
        <v>37</v>
      </c>
      <c r="W89">
        <v>17</v>
      </c>
      <c r="X89">
        <v>20</v>
      </c>
      <c r="Y89">
        <v>0.45945945945945899</v>
      </c>
      <c r="Z89">
        <v>40.914298121904601</v>
      </c>
      <c r="AA89">
        <v>20.194057294571099</v>
      </c>
      <c r="AB89">
        <v>20.720240827333502</v>
      </c>
      <c r="AC89">
        <v>0.493569686430955</v>
      </c>
      <c r="AD89">
        <v>-3.1940572945711301</v>
      </c>
      <c r="AE89">
        <v>-0.72024082733353301</v>
      </c>
      <c r="AF89">
        <v>5</v>
      </c>
      <c r="AG89">
        <v>3</v>
      </c>
      <c r="AH89">
        <v>4.9653274419787202E-2</v>
      </c>
      <c r="AI89">
        <v>-4.7503617984280197E-3</v>
      </c>
      <c r="AJ89">
        <v>129</v>
      </c>
      <c r="AK89">
        <v>27</v>
      </c>
      <c r="AL89">
        <f t="shared" si="2"/>
        <v>0.72972972972972971</v>
      </c>
      <c r="AM89">
        <f t="shared" si="3"/>
        <v>0.20930232558139536</v>
      </c>
    </row>
    <row r="90" spans="1:39" x14ac:dyDescent="0.2">
      <c r="A90" t="s">
        <v>120</v>
      </c>
      <c r="B90" t="s">
        <v>121</v>
      </c>
      <c r="C90" t="s">
        <v>41</v>
      </c>
      <c r="D90" t="s">
        <v>121</v>
      </c>
      <c r="E90">
        <v>-15.024270287987701</v>
      </c>
      <c r="F90">
        <v>-11.551392686105199</v>
      </c>
      <c r="G90">
        <v>3.4728776018824901</v>
      </c>
      <c r="H90">
        <v>39</v>
      </c>
      <c r="I90">
        <v>15</v>
      </c>
      <c r="J90">
        <v>24</v>
      </c>
      <c r="K90">
        <v>0.38461538461538403</v>
      </c>
      <c r="L90">
        <v>35.0798631278359</v>
      </c>
      <c r="M90">
        <v>18.815627906970501</v>
      </c>
      <c r="N90">
        <v>16.264235220865299</v>
      </c>
      <c r="O90">
        <v>0.53636548804092499</v>
      </c>
      <c r="P90">
        <v>-3.8156279069705898</v>
      </c>
      <c r="Q90">
        <v>7.7357647791346498</v>
      </c>
      <c r="R90">
        <v>3</v>
      </c>
      <c r="S90">
        <v>1</v>
      </c>
      <c r="T90">
        <v>2.04190122979254E-2</v>
      </c>
      <c r="U90">
        <v>2.2818026031222599E-3</v>
      </c>
      <c r="V90">
        <v>42</v>
      </c>
      <c r="W90">
        <v>25</v>
      </c>
      <c r="X90">
        <v>17</v>
      </c>
      <c r="Y90">
        <v>0.59523809523809501</v>
      </c>
      <c r="Z90">
        <v>40.011567792761099</v>
      </c>
      <c r="AA90">
        <v>22.269345095439299</v>
      </c>
      <c r="AB90">
        <v>17.7422226973218</v>
      </c>
      <c r="AC90">
        <v>0.55657266945356398</v>
      </c>
      <c r="AD90">
        <v>2.7306549045606898</v>
      </c>
      <c r="AE90">
        <v>-0.74222269732180601</v>
      </c>
      <c r="AF90">
        <v>7</v>
      </c>
      <c r="AG90">
        <v>2</v>
      </c>
      <c r="AH90">
        <v>4.7576180490797898E-2</v>
      </c>
      <c r="AI90">
        <v>2.36436647709736E-3</v>
      </c>
      <c r="AJ90">
        <v>100</v>
      </c>
      <c r="AK90">
        <v>17</v>
      </c>
      <c r="AL90">
        <f t="shared" si="2"/>
        <v>0.4358974358974359</v>
      </c>
      <c r="AM90">
        <f t="shared" si="3"/>
        <v>0.17</v>
      </c>
    </row>
    <row r="91" spans="1:39" x14ac:dyDescent="0.2">
      <c r="A91" t="s">
        <v>145</v>
      </c>
      <c r="B91" t="s">
        <v>71</v>
      </c>
      <c r="C91" t="s">
        <v>41</v>
      </c>
      <c r="D91" t="s">
        <v>71</v>
      </c>
      <c r="E91">
        <v>-10.7662290205371</v>
      </c>
      <c r="F91">
        <v>-16.085183255424901</v>
      </c>
      <c r="G91">
        <v>-5.3189542348878103</v>
      </c>
      <c r="H91">
        <v>31</v>
      </c>
      <c r="I91">
        <v>12</v>
      </c>
      <c r="J91">
        <v>19</v>
      </c>
      <c r="K91">
        <v>0.38709677419354799</v>
      </c>
      <c r="L91">
        <v>39.132938591686603</v>
      </c>
      <c r="M91">
        <v>24.109060923555699</v>
      </c>
      <c r="N91">
        <v>15.023877668130799</v>
      </c>
      <c r="O91">
        <v>0.61608102512080398</v>
      </c>
      <c r="P91">
        <v>-12.109060923555701</v>
      </c>
      <c r="Q91">
        <v>3.9761223318691798</v>
      </c>
      <c r="R91">
        <v>5</v>
      </c>
      <c r="S91">
        <v>2</v>
      </c>
      <c r="T91">
        <v>2.37313150950191E-2</v>
      </c>
      <c r="U91">
        <v>-4.9320428087850799E-3</v>
      </c>
      <c r="V91">
        <v>29</v>
      </c>
      <c r="W91">
        <v>12</v>
      </c>
      <c r="X91">
        <v>17</v>
      </c>
      <c r="Y91">
        <v>0.41379310344827502</v>
      </c>
      <c r="Z91">
        <v>31.280237660751201</v>
      </c>
      <c r="AA91">
        <v>15.799595947819499</v>
      </c>
      <c r="AB91">
        <v>15.4806417129317</v>
      </c>
      <c r="AC91">
        <v>0.505098334583435</v>
      </c>
      <c r="AD91">
        <v>-3.7995959478195198</v>
      </c>
      <c r="AE91">
        <v>1.51935828706829</v>
      </c>
      <c r="AF91">
        <v>6</v>
      </c>
      <c r="AG91">
        <v>3</v>
      </c>
      <c r="AH91">
        <v>4.31451553941396E-2</v>
      </c>
      <c r="AI91">
        <v>-3.14515539413963E-3</v>
      </c>
      <c r="AJ91">
        <v>116</v>
      </c>
      <c r="AK91">
        <v>17</v>
      </c>
      <c r="AL91">
        <f t="shared" si="2"/>
        <v>0.54838709677419351</v>
      </c>
      <c r="AM91">
        <f t="shared" si="3"/>
        <v>0.14655172413793102</v>
      </c>
    </row>
    <row r="92" spans="1:39" x14ac:dyDescent="0.2">
      <c r="A92" t="s">
        <v>146</v>
      </c>
      <c r="B92" t="s">
        <v>107</v>
      </c>
      <c r="C92" t="s">
        <v>41</v>
      </c>
      <c r="D92" t="s">
        <v>107</v>
      </c>
      <c r="E92">
        <v>-28.282189752526701</v>
      </c>
      <c r="F92">
        <v>-17.293272555259598</v>
      </c>
      <c r="G92">
        <v>10.988917197267099</v>
      </c>
      <c r="H92">
        <v>73</v>
      </c>
      <c r="I92">
        <v>35</v>
      </c>
      <c r="J92">
        <v>38</v>
      </c>
      <c r="K92">
        <v>0.47945205479452002</v>
      </c>
      <c r="L92">
        <v>46.4215728382093</v>
      </c>
      <c r="M92">
        <v>30.3574226967344</v>
      </c>
      <c r="N92">
        <v>16.064150141474801</v>
      </c>
      <c r="O92">
        <v>0.65395075695814098</v>
      </c>
      <c r="P92">
        <v>4.6425773032655302</v>
      </c>
      <c r="Q92">
        <v>21.935849858525099</v>
      </c>
      <c r="R92">
        <v>10</v>
      </c>
      <c r="S92">
        <v>4</v>
      </c>
      <c r="T92">
        <v>2.4432406756952199E-2</v>
      </c>
      <c r="U92">
        <v>1.39886458746266E-2</v>
      </c>
      <c r="V92">
        <v>36</v>
      </c>
      <c r="W92">
        <v>20</v>
      </c>
      <c r="X92">
        <v>16</v>
      </c>
      <c r="Y92">
        <v>0.55555555555555503</v>
      </c>
      <c r="Z92">
        <v>35.270754838594698</v>
      </c>
      <c r="AA92">
        <v>14.140918820663799</v>
      </c>
      <c r="AB92">
        <v>21.129836017930899</v>
      </c>
      <c r="AC92">
        <v>0.40092475722096499</v>
      </c>
      <c r="AD92">
        <v>5.8590811793361803</v>
      </c>
      <c r="AE92">
        <v>-5.1298360179309404</v>
      </c>
      <c r="AF92">
        <v>5</v>
      </c>
      <c r="AG92">
        <v>2</v>
      </c>
      <c r="AH92">
        <v>3.7642214342150197E-2</v>
      </c>
      <c r="AI92">
        <v>7.7827658634497903E-4</v>
      </c>
      <c r="AJ92">
        <v>125</v>
      </c>
      <c r="AK92">
        <v>43</v>
      </c>
      <c r="AL92">
        <f t="shared" si="2"/>
        <v>0.58904109589041098</v>
      </c>
      <c r="AM92">
        <f t="shared" si="3"/>
        <v>0.34399999999999997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abs-challenges-2026-catcher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Burman</dc:creator>
  <cp:lastModifiedBy>Anthony Burman</cp:lastModifiedBy>
  <dcterms:created xsi:type="dcterms:W3CDTF">2026-05-09T15:30:01Z</dcterms:created>
  <dcterms:modified xsi:type="dcterms:W3CDTF">2026-06-21T04:04:19Z</dcterms:modified>
</cp:coreProperties>
</file>